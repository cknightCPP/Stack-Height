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knight\Documents\Python\StackHeight\"/>
    </mc:Choice>
  </mc:AlternateContent>
  <xr:revisionPtr revIDLastSave="0" documentId="13_ncr:1_{73795270-BE2D-4FC2-8567-C8A008001A81}" xr6:coauthVersionLast="47" xr6:coauthVersionMax="47" xr10:uidLastSave="{00000000-0000-0000-0000-000000000000}"/>
  <bookViews>
    <workbookView xWindow="-28905" yWindow="0" windowWidth="14610" windowHeight="17385" activeTab="1" xr2:uid="{60D3D190-FBC4-4A3D-8B8C-31F858DB8D9D}"/>
  </bookViews>
  <sheets>
    <sheet name="Read Me" sheetId="6" r:id="rId1"/>
    <sheet name="Inputs" sheetId="2" r:id="rId2"/>
    <sheet name="BackEndR0" sheetId="5" r:id="rId3"/>
    <sheet name="Dilution" sheetId="8" r:id="rId4"/>
    <sheet name="Units" sheetId="4" r:id="rId5"/>
    <sheet name="Rec" sheetId="15" r:id="rId6"/>
    <sheet name="Geometry" sheetId="11" r:id="rId7"/>
    <sheet name="Stack" sheetId="13" r:id="rId8"/>
    <sheet name="Cond" sheetId="12" r:id="rId9"/>
    <sheet name="Mega IC" sheetId="14" r:id="rId10"/>
  </sheets>
  <definedNames>
    <definedName name="Boundary">Units!$A$23:$A$26</definedName>
    <definedName name="CapFactor">Units!$A$19:$A$20</definedName>
    <definedName name="Distance">Units!$A$3:$A$8</definedName>
    <definedName name="Velocity">Units!$A$11:$A$16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8" l="1"/>
  <c r="G23" i="5"/>
  <c r="G26" i="5" s="1"/>
  <c r="C59" i="2"/>
  <c r="E61" i="2"/>
  <c r="E59" i="2"/>
  <c r="C61" i="2"/>
  <c r="D5" i="11"/>
  <c r="E5" i="11"/>
  <c r="F5" i="11"/>
  <c r="G5" i="11"/>
  <c r="H5" i="11"/>
  <c r="I5" i="11"/>
  <c r="J5" i="11"/>
  <c r="D6" i="11"/>
  <c r="E6" i="11"/>
  <c r="F6" i="11"/>
  <c r="G6" i="11"/>
  <c r="H6" i="11"/>
  <c r="I6" i="11"/>
  <c r="J6" i="11"/>
  <c r="D7" i="11"/>
  <c r="E7" i="11"/>
  <c r="F7" i="11"/>
  <c r="G7" i="11"/>
  <c r="H7" i="11"/>
  <c r="I7" i="11"/>
  <c r="J7" i="11"/>
  <c r="C7" i="11"/>
  <c r="C6" i="11"/>
  <c r="C5" i="11"/>
  <c r="B7" i="11"/>
  <c r="B6" i="11"/>
  <c r="B5" i="11"/>
  <c r="F14" i="14"/>
  <c r="E14" i="14"/>
  <c r="D14" i="14"/>
  <c r="C14" i="14"/>
  <c r="B14" i="14"/>
  <c r="F13" i="14"/>
  <c r="E13" i="14"/>
  <c r="D13" i="14"/>
  <c r="C13" i="14"/>
  <c r="I11" i="14"/>
  <c r="H11" i="14"/>
  <c r="G11" i="14"/>
  <c r="F11" i="14"/>
  <c r="E11" i="14"/>
  <c r="D11" i="14"/>
  <c r="C11" i="14"/>
  <c r="B11" i="14"/>
  <c r="I10" i="14"/>
  <c r="H10" i="14"/>
  <c r="G10" i="14"/>
  <c r="F10" i="14"/>
  <c r="E10" i="14"/>
  <c r="D10" i="14"/>
  <c r="C10" i="14"/>
  <c r="B10" i="14"/>
  <c r="I9" i="14"/>
  <c r="H9" i="14"/>
  <c r="G9" i="14"/>
  <c r="F9" i="14"/>
  <c r="E9" i="14"/>
  <c r="D9" i="14"/>
  <c r="C9" i="14"/>
  <c r="B9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J5" i="14"/>
  <c r="I5" i="14"/>
  <c r="H5" i="14"/>
  <c r="G5" i="14"/>
  <c r="F5" i="14"/>
  <c r="E5" i="14"/>
  <c r="D5" i="14"/>
  <c r="C5" i="14"/>
  <c r="B5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E2" i="14"/>
  <c r="D2" i="14"/>
  <c r="C2" i="14"/>
  <c r="R2" i="11"/>
  <c r="R4" i="11"/>
  <c r="J2" i="11"/>
  <c r="J4" i="11"/>
  <c r="I2" i="13"/>
  <c r="I3" i="13"/>
  <c r="I4" i="13"/>
  <c r="J57" i="2"/>
  <c r="C2" i="13"/>
  <c r="D2" i="13"/>
  <c r="E2" i="13"/>
  <c r="F2" i="13"/>
  <c r="G2" i="13"/>
  <c r="H2" i="13"/>
  <c r="C3" i="13"/>
  <c r="D3" i="13"/>
  <c r="E3" i="13"/>
  <c r="F3" i="13"/>
  <c r="G3" i="13"/>
  <c r="H3" i="13"/>
  <c r="D57" i="2"/>
  <c r="C4" i="13" s="1"/>
  <c r="E57" i="2"/>
  <c r="D4" i="13" s="1"/>
  <c r="F57" i="2"/>
  <c r="E4" i="13" s="1"/>
  <c r="G57" i="2"/>
  <c r="F4" i="13" s="1"/>
  <c r="H57" i="2"/>
  <c r="G4" i="13" s="1"/>
  <c r="I57" i="2"/>
  <c r="H4" i="13" s="1"/>
  <c r="C57" i="2"/>
  <c r="B4" i="13" s="1"/>
  <c r="B3" i="13"/>
  <c r="B2" i="13"/>
  <c r="L2" i="11"/>
  <c r="M2" i="11"/>
  <c r="N2" i="11"/>
  <c r="O2" i="11"/>
  <c r="P2" i="11"/>
  <c r="Q2" i="11"/>
  <c r="L4" i="11"/>
  <c r="M4" i="11"/>
  <c r="N4" i="11"/>
  <c r="O4" i="11"/>
  <c r="P4" i="11"/>
  <c r="Q4" i="11"/>
  <c r="K4" i="11"/>
  <c r="K2" i="11"/>
  <c r="F3" i="12"/>
  <c r="F2" i="12"/>
  <c r="E3" i="12"/>
  <c r="D3" i="12"/>
  <c r="E2" i="12"/>
  <c r="D2" i="12"/>
  <c r="C27" i="2"/>
  <c r="C3" i="12"/>
  <c r="B3" i="12"/>
  <c r="C2" i="12"/>
  <c r="D2" i="11"/>
  <c r="E2" i="11"/>
  <c r="F2" i="11"/>
  <c r="G2" i="11"/>
  <c r="H2" i="11"/>
  <c r="I2" i="11"/>
  <c r="D4" i="11"/>
  <c r="E4" i="11"/>
  <c r="F4" i="11"/>
  <c r="G4" i="11"/>
  <c r="H4" i="11"/>
  <c r="I4" i="11"/>
  <c r="C4" i="11"/>
  <c r="C2" i="11"/>
  <c r="B3" i="2"/>
  <c r="AD16" i="5"/>
  <c r="AE16" i="5"/>
  <c r="AF16" i="5"/>
  <c r="AG16" i="5"/>
  <c r="AD17" i="5"/>
  <c r="AE17" i="5"/>
  <c r="AF17" i="5"/>
  <c r="AG17" i="5"/>
  <c r="AD18" i="5"/>
  <c r="AE18" i="5"/>
  <c r="AF18" i="5"/>
  <c r="AG18" i="5"/>
  <c r="AD19" i="5"/>
  <c r="AE19" i="5"/>
  <c r="AF19" i="5"/>
  <c r="AG19" i="5"/>
  <c r="AD20" i="5"/>
  <c r="AE20" i="5"/>
  <c r="AF20" i="5"/>
  <c r="AG20" i="5"/>
  <c r="S39" i="5"/>
  <c r="T39" i="5"/>
  <c r="X39" i="5"/>
  <c r="Z39" i="5"/>
  <c r="AA39" i="5"/>
  <c r="AC39" i="5"/>
  <c r="AE39" i="5"/>
  <c r="S40" i="5"/>
  <c r="T40" i="5"/>
  <c r="X40" i="5"/>
  <c r="Z40" i="5"/>
  <c r="AA40" i="5"/>
  <c r="AC40" i="5"/>
  <c r="AE40" i="5"/>
  <c r="X15" i="8"/>
  <c r="X13" i="8"/>
  <c r="X14" i="8"/>
  <c r="X5" i="8"/>
  <c r="X4" i="8"/>
  <c r="X3" i="8"/>
  <c r="B8" i="8"/>
  <c r="C7" i="8"/>
  <c r="B7" i="8"/>
  <c r="X9" i="8"/>
  <c r="X10" i="8"/>
  <c r="X8" i="8"/>
  <c r="M3" i="5" l="1"/>
  <c r="M6" i="5" s="1"/>
  <c r="W39" i="5" s="1"/>
  <c r="N3" i="5"/>
  <c r="C56" i="2"/>
  <c r="M15" i="5"/>
  <c r="N15" i="5"/>
  <c r="C9" i="8"/>
  <c r="B60" i="2"/>
  <c r="B58" i="2"/>
  <c r="I50" i="2"/>
  <c r="Q10" i="5" s="1"/>
  <c r="H50" i="2"/>
  <c r="Q9" i="5" s="1"/>
  <c r="G50" i="2"/>
  <c r="Q8" i="5" s="1"/>
  <c r="I49" i="2"/>
  <c r="P10" i="5" s="1"/>
  <c r="H49" i="2"/>
  <c r="P9" i="5" s="1"/>
  <c r="G49" i="2"/>
  <c r="P8" i="5" s="1"/>
  <c r="E29" i="2"/>
  <c r="D29" i="2"/>
  <c r="D61" i="2" s="1"/>
  <c r="C29" i="2"/>
  <c r="E27" i="2"/>
  <c r="D27" i="2"/>
  <c r="D59" i="2" s="1"/>
  <c r="F50" i="2"/>
  <c r="Q7" i="5" s="1"/>
  <c r="E50" i="2"/>
  <c r="Q6" i="5" s="1"/>
  <c r="F49" i="2"/>
  <c r="P7" i="5" s="1"/>
  <c r="E49" i="2"/>
  <c r="P6" i="5" s="1"/>
  <c r="D50" i="2"/>
  <c r="Q5" i="5" s="1"/>
  <c r="D49" i="2"/>
  <c r="P5" i="5" s="1"/>
  <c r="B56" i="2"/>
  <c r="B55" i="2"/>
  <c r="C55" i="2" s="1"/>
  <c r="B51" i="2"/>
  <c r="B53" i="2" s="1"/>
  <c r="C53" i="2" s="1"/>
  <c r="B48" i="2"/>
  <c r="B50" i="2" s="1"/>
  <c r="C50" i="2" s="1"/>
  <c r="B44" i="2"/>
  <c r="B46" i="2" s="1"/>
  <c r="I46" i="2" s="1"/>
  <c r="B41" i="2"/>
  <c r="B43" i="2" s="1"/>
  <c r="I43" i="2" s="1"/>
  <c r="B40" i="2"/>
  <c r="B39" i="2"/>
  <c r="B34" i="2"/>
  <c r="B37" i="2" s="1"/>
  <c r="C37" i="2" s="1"/>
  <c r="B4" i="4"/>
  <c r="B14" i="4"/>
  <c r="B13" i="4"/>
  <c r="B11" i="4"/>
  <c r="B8" i="4"/>
  <c r="B7" i="4"/>
  <c r="B5" i="4"/>
  <c r="C40" i="2" l="1"/>
  <c r="C39" i="2"/>
  <c r="D5" i="8" s="1"/>
  <c r="Q4" i="5"/>
  <c r="AC19" i="5"/>
  <c r="AE38" i="5"/>
  <c r="AC20" i="5"/>
  <c r="AC16" i="5"/>
  <c r="P15" i="8"/>
  <c r="Q15" i="8" s="1"/>
  <c r="W4" i="5"/>
  <c r="W8" i="5"/>
  <c r="P14" i="8"/>
  <c r="Q14" i="8" s="1"/>
  <c r="P4" i="8"/>
  <c r="Q4" i="8" s="1"/>
  <c r="P5" i="8"/>
  <c r="Q5" i="8" s="1"/>
  <c r="Q3" i="8"/>
  <c r="P13" i="8"/>
  <c r="Q13" i="8" s="1"/>
  <c r="M10" i="8"/>
  <c r="M13" i="8"/>
  <c r="M5" i="8"/>
  <c r="M14" i="8"/>
  <c r="M4" i="8"/>
  <c r="M15" i="8"/>
  <c r="M3" i="8"/>
  <c r="I5" i="8"/>
  <c r="I3" i="8"/>
  <c r="I15" i="8"/>
  <c r="I13" i="8"/>
  <c r="I14" i="8"/>
  <c r="I4" i="8"/>
  <c r="M4" i="5"/>
  <c r="V39" i="5" s="1"/>
  <c r="P9" i="8"/>
  <c r="Q9" i="8" s="1"/>
  <c r="P10" i="8"/>
  <c r="Q10" i="8" s="1"/>
  <c r="P8" i="8"/>
  <c r="Q8" i="8" s="1"/>
  <c r="I9" i="8"/>
  <c r="I10" i="8"/>
  <c r="I8" i="8"/>
  <c r="M9" i="8"/>
  <c r="M8" i="8"/>
  <c r="M7" i="5"/>
  <c r="M5" i="5"/>
  <c r="U39" i="5" s="1"/>
  <c r="N7" i="5"/>
  <c r="N4" i="5"/>
  <c r="V40" i="5" s="1"/>
  <c r="N5" i="5"/>
  <c r="U40" i="5" s="1"/>
  <c r="N6" i="5"/>
  <c r="W40" i="5" s="1"/>
  <c r="M11" i="5"/>
  <c r="G25" i="5"/>
  <c r="C43" i="2"/>
  <c r="D43" i="2"/>
  <c r="D46" i="2"/>
  <c r="E43" i="2"/>
  <c r="E46" i="2"/>
  <c r="C46" i="2"/>
  <c r="F43" i="2"/>
  <c r="F46" i="2"/>
  <c r="G43" i="2"/>
  <c r="G46" i="2"/>
  <c r="H43" i="2"/>
  <c r="H46" i="2"/>
  <c r="B49" i="2"/>
  <c r="C49" i="2" s="1"/>
  <c r="B35" i="2"/>
  <c r="C35" i="2" s="1"/>
  <c r="Z3" i="8" s="1"/>
  <c r="B42" i="2"/>
  <c r="B47" i="2"/>
  <c r="B52" i="2"/>
  <c r="C52" i="2" s="1"/>
  <c r="B45" i="2"/>
  <c r="B36" i="2"/>
  <c r="C36" i="2" s="1"/>
  <c r="G5" i="8" l="1"/>
  <c r="E5" i="8"/>
  <c r="F5" i="8" s="1"/>
  <c r="D23" i="5"/>
  <c r="D24" i="5" s="1"/>
  <c r="D10" i="8"/>
  <c r="G10" i="8" s="1"/>
  <c r="D15" i="8"/>
  <c r="E15" i="8" s="1"/>
  <c r="F15" i="8" s="1"/>
  <c r="S7" i="5"/>
  <c r="Z31" i="5"/>
  <c r="S6" i="5"/>
  <c r="Y19" i="5"/>
  <c r="Y16" i="5"/>
  <c r="Y20" i="5"/>
  <c r="AE36" i="5"/>
  <c r="V4" i="5"/>
  <c r="V5" i="5"/>
  <c r="V9" i="5"/>
  <c r="V8" i="5"/>
  <c r="Z14" i="8"/>
  <c r="AE35" i="5"/>
  <c r="W16" i="5"/>
  <c r="W20" i="5"/>
  <c r="W19" i="5"/>
  <c r="AE34" i="5"/>
  <c r="U19" i="5"/>
  <c r="U20" i="5"/>
  <c r="U16" i="5"/>
  <c r="Z8" i="8"/>
  <c r="T5" i="5"/>
  <c r="T31" i="5"/>
  <c r="AA31" i="5"/>
  <c r="X31" i="5"/>
  <c r="AC31" i="5"/>
  <c r="T6" i="5"/>
  <c r="Z5" i="8"/>
  <c r="S16" i="5"/>
  <c r="S20" i="5"/>
  <c r="S19" i="5"/>
  <c r="AE33" i="5"/>
  <c r="Z13" i="8"/>
  <c r="AE37" i="5"/>
  <c r="AA16" i="5"/>
  <c r="AA20" i="5"/>
  <c r="AA19" i="5"/>
  <c r="O14" i="8"/>
  <c r="O13" i="8"/>
  <c r="O4" i="8"/>
  <c r="O5" i="8"/>
  <c r="J5" i="8" s="1"/>
  <c r="O3" i="8"/>
  <c r="P4" i="5"/>
  <c r="O15" i="8"/>
  <c r="Q19" i="5"/>
  <c r="Q16" i="5"/>
  <c r="Q20" i="5"/>
  <c r="AE32" i="5"/>
  <c r="Z4" i="8"/>
  <c r="Z15" i="8"/>
  <c r="AB39" i="5"/>
  <c r="AD39" i="5"/>
  <c r="AB40" i="5"/>
  <c r="AD40" i="5"/>
  <c r="O9" i="8"/>
  <c r="O10" i="8"/>
  <c r="O8" i="8"/>
  <c r="Z10" i="8"/>
  <c r="Z9" i="8"/>
  <c r="D3" i="5"/>
  <c r="D7" i="5" s="1"/>
  <c r="M10" i="5"/>
  <c r="L18" i="5"/>
  <c r="E28" i="5"/>
  <c r="J28" i="5"/>
  <c r="I28" i="5"/>
  <c r="H28" i="5"/>
  <c r="K28" i="5"/>
  <c r="L28" i="5"/>
  <c r="F28" i="5"/>
  <c r="G28" i="5"/>
  <c r="L19" i="5"/>
  <c r="N14" i="5"/>
  <c r="D28" i="5"/>
  <c r="M14" i="5"/>
  <c r="M19" i="5"/>
  <c r="M18" i="5"/>
  <c r="N10" i="5"/>
  <c r="D15" i="5"/>
  <c r="N11" i="5"/>
  <c r="I42" i="2"/>
  <c r="C42" i="2"/>
  <c r="D42" i="2"/>
  <c r="H42" i="2"/>
  <c r="E42" i="2"/>
  <c r="G42" i="2"/>
  <c r="F42" i="2"/>
  <c r="C45" i="2"/>
  <c r="Q17" i="5" s="1"/>
  <c r="I45" i="2"/>
  <c r="H45" i="2"/>
  <c r="AC37" i="5" s="1"/>
  <c r="G45" i="2"/>
  <c r="X36" i="5" s="1"/>
  <c r="D45" i="2"/>
  <c r="T33" i="5" s="1"/>
  <c r="F45" i="2"/>
  <c r="W17" i="5" s="1"/>
  <c r="E45" i="2"/>
  <c r="U18" i="5" s="1"/>
  <c r="C47" i="2"/>
  <c r="I47" i="2"/>
  <c r="H47" i="2"/>
  <c r="D47" i="2"/>
  <c r="G47" i="2"/>
  <c r="E47" i="2"/>
  <c r="F47" i="2"/>
  <c r="J10" i="8" l="1"/>
  <c r="E10" i="8"/>
  <c r="F10" i="8" s="1"/>
  <c r="G15" i="8"/>
  <c r="J15" i="8" s="1"/>
  <c r="AA18" i="5"/>
  <c r="T35" i="5"/>
  <c r="T37" i="5"/>
  <c r="S17" i="5"/>
  <c r="AA36" i="5"/>
  <c r="Q18" i="5"/>
  <c r="AC32" i="5"/>
  <c r="T16" i="5"/>
  <c r="T18" i="5"/>
  <c r="T20" i="5"/>
  <c r="Z34" i="5"/>
  <c r="T17" i="5"/>
  <c r="T19" i="5"/>
  <c r="S34" i="5"/>
  <c r="AA34" i="5"/>
  <c r="X35" i="5"/>
  <c r="AC36" i="5"/>
  <c r="R16" i="5"/>
  <c r="R18" i="5"/>
  <c r="R20" i="5"/>
  <c r="S33" i="5"/>
  <c r="R17" i="5"/>
  <c r="R19" i="5"/>
  <c r="Z33" i="5"/>
  <c r="S18" i="5"/>
  <c r="U17" i="5"/>
  <c r="W18" i="5"/>
  <c r="Z17" i="5"/>
  <c r="Z19" i="5"/>
  <c r="Z16" i="5"/>
  <c r="Z18" i="5"/>
  <c r="Z20" i="5"/>
  <c r="S37" i="5"/>
  <c r="Z37" i="5"/>
  <c r="AB17" i="5"/>
  <c r="AB19" i="5"/>
  <c r="Z38" i="5"/>
  <c r="S38" i="5"/>
  <c r="AB16" i="5"/>
  <c r="AB18" i="5"/>
  <c r="AB20" i="5"/>
  <c r="AA32" i="5"/>
  <c r="Y18" i="5"/>
  <c r="X32" i="5"/>
  <c r="AA37" i="5"/>
  <c r="AC34" i="5"/>
  <c r="X34" i="5"/>
  <c r="T36" i="5"/>
  <c r="T32" i="5"/>
  <c r="T34" i="5"/>
  <c r="AC38" i="5"/>
  <c r="AC18" i="5"/>
  <c r="T38" i="5"/>
  <c r="AA38" i="5"/>
  <c r="X38" i="5"/>
  <c r="AC17" i="5"/>
  <c r="AC33" i="5"/>
  <c r="Y17" i="5"/>
  <c r="AA17" i="5"/>
  <c r="AA33" i="5"/>
  <c r="AA35" i="5"/>
  <c r="V16" i="5"/>
  <c r="V18" i="5"/>
  <c r="V20" i="5"/>
  <c r="S35" i="5"/>
  <c r="Z35" i="5"/>
  <c r="V17" i="5"/>
  <c r="V19" i="5"/>
  <c r="X37" i="5"/>
  <c r="X33" i="5"/>
  <c r="AC35" i="5"/>
  <c r="Z32" i="5"/>
  <c r="P17" i="5"/>
  <c r="P19" i="5"/>
  <c r="S32" i="5"/>
  <c r="P16" i="5"/>
  <c r="P18" i="5"/>
  <c r="P20" i="5"/>
  <c r="X17" i="5"/>
  <c r="X19" i="5"/>
  <c r="Z36" i="5"/>
  <c r="X16" i="5"/>
  <c r="X18" i="5"/>
  <c r="X20" i="5"/>
  <c r="S36" i="5"/>
  <c r="AD31" i="5"/>
  <c r="V10" i="5"/>
  <c r="AB31" i="5"/>
  <c r="D9" i="8"/>
  <c r="D4" i="8"/>
  <c r="D14" i="8"/>
  <c r="D25" i="5"/>
  <c r="D26" i="5" s="1"/>
  <c r="D5" i="5"/>
  <c r="U31" i="5" s="1"/>
  <c r="D4" i="5"/>
  <c r="V31" i="5" s="1"/>
  <c r="D6" i="5"/>
  <c r="I3" i="5"/>
  <c r="I7" i="5" s="1"/>
  <c r="L3" i="5"/>
  <c r="L4" i="5" s="1"/>
  <c r="V38" i="5" s="1"/>
  <c r="J3" i="5"/>
  <c r="K3" i="5"/>
  <c r="H3" i="5"/>
  <c r="F3" i="5"/>
  <c r="G3" i="5"/>
  <c r="J15" i="5"/>
  <c r="G24" i="5"/>
  <c r="K15" i="5"/>
  <c r="G15" i="5"/>
  <c r="H15" i="5"/>
  <c r="F15" i="5"/>
  <c r="L15" i="5"/>
  <c r="I15" i="5"/>
  <c r="W31" i="5" l="1"/>
  <c r="D68" i="5"/>
  <c r="D69" i="5"/>
  <c r="D70" i="5"/>
  <c r="D72" i="5"/>
  <c r="D73" i="5"/>
  <c r="D75" i="5"/>
  <c r="D71" i="5"/>
  <c r="D74" i="5"/>
  <c r="D76" i="5"/>
  <c r="D77" i="5"/>
  <c r="AB35" i="5"/>
  <c r="AD35" i="5"/>
  <c r="B68" i="5"/>
  <c r="G14" i="8"/>
  <c r="J14" i="8" s="1"/>
  <c r="G4" i="8"/>
  <c r="D13" i="8"/>
  <c r="E14" i="8"/>
  <c r="F9" i="8"/>
  <c r="F14" i="8"/>
  <c r="F4" i="8"/>
  <c r="E4" i="8"/>
  <c r="D3" i="8"/>
  <c r="G9" i="8"/>
  <c r="E9" i="8"/>
  <c r="D8" i="8"/>
  <c r="B70" i="5"/>
  <c r="B69" i="5"/>
  <c r="D11" i="5"/>
  <c r="I4" i="5"/>
  <c r="V35" i="5" s="1"/>
  <c r="I6" i="5"/>
  <c r="W35" i="5" s="1"/>
  <c r="L5" i="5"/>
  <c r="U38" i="5" s="1"/>
  <c r="I5" i="5"/>
  <c r="U35" i="5" s="1"/>
  <c r="L6" i="5"/>
  <c r="W38" i="5" s="1"/>
  <c r="L7" i="5"/>
  <c r="K5" i="5"/>
  <c r="U37" i="5" s="1"/>
  <c r="K4" i="5"/>
  <c r="V37" i="5" s="1"/>
  <c r="K7" i="5"/>
  <c r="K6" i="5"/>
  <c r="W37" i="5" s="1"/>
  <c r="H4" i="5"/>
  <c r="V34" i="5" s="1"/>
  <c r="H7" i="5"/>
  <c r="H6" i="5"/>
  <c r="W34" i="5" s="1"/>
  <c r="H5" i="5"/>
  <c r="U34" i="5" s="1"/>
  <c r="F4" i="5"/>
  <c r="V32" i="5" s="1"/>
  <c r="F6" i="5"/>
  <c r="W32" i="5" s="1"/>
  <c r="F5" i="5"/>
  <c r="U32" i="5" s="1"/>
  <c r="G4" i="5"/>
  <c r="V33" i="5" s="1"/>
  <c r="G7" i="5"/>
  <c r="G6" i="5"/>
  <c r="W33" i="5" s="1"/>
  <c r="G5" i="5"/>
  <c r="U33" i="5" s="1"/>
  <c r="J5" i="5"/>
  <c r="U36" i="5" s="1"/>
  <c r="J4" i="5"/>
  <c r="V36" i="5" s="1"/>
  <c r="J7" i="5"/>
  <c r="J6" i="5"/>
  <c r="W36" i="5" s="1"/>
  <c r="H19" i="5"/>
  <c r="F7" i="5"/>
  <c r="K29" i="5"/>
  <c r="H29" i="5"/>
  <c r="I29" i="5"/>
  <c r="F29" i="5"/>
  <c r="D29" i="5"/>
  <c r="J4" i="8" s="1"/>
  <c r="J29" i="5"/>
  <c r="E29" i="5"/>
  <c r="G29" i="5"/>
  <c r="L29" i="5"/>
  <c r="D19" i="5"/>
  <c r="I14" i="5"/>
  <c r="D10" i="5"/>
  <c r="D18" i="5"/>
  <c r="D14" i="5"/>
  <c r="E69" i="5" l="1"/>
  <c r="AB36" i="5"/>
  <c r="AD36" i="5"/>
  <c r="AB32" i="5"/>
  <c r="AD32" i="5"/>
  <c r="AB34" i="5"/>
  <c r="AD34" i="5"/>
  <c r="AB37" i="5"/>
  <c r="AD37" i="5"/>
  <c r="AB33" i="5"/>
  <c r="AD33" i="5"/>
  <c r="AB38" i="5"/>
  <c r="AD38" i="5"/>
  <c r="B71" i="5"/>
  <c r="G13" i="8"/>
  <c r="J13" i="8" s="1"/>
  <c r="E13" i="8"/>
  <c r="F13" i="8" s="1"/>
  <c r="G3" i="8"/>
  <c r="J3" i="8" s="1"/>
  <c r="E3" i="8"/>
  <c r="F3" i="8" s="1"/>
  <c r="G8" i="8"/>
  <c r="J8" i="8" s="1"/>
  <c r="E8" i="8"/>
  <c r="F8" i="8" s="1"/>
  <c r="J9" i="8"/>
  <c r="E75" i="5"/>
  <c r="E73" i="5"/>
  <c r="E76" i="5"/>
  <c r="E72" i="5"/>
  <c r="E71" i="5"/>
  <c r="E74" i="5"/>
  <c r="E68" i="5"/>
  <c r="E70" i="5"/>
  <c r="E77" i="5"/>
  <c r="I19" i="5"/>
  <c r="I11" i="5"/>
  <c r="J19" i="5"/>
  <c r="G19" i="5"/>
  <c r="F19" i="5"/>
  <c r="F10" i="5"/>
  <c r="K19" i="5"/>
  <c r="F11" i="5"/>
  <c r="I10" i="5"/>
  <c r="H18" i="5"/>
  <c r="F14" i="5"/>
  <c r="E19" i="5"/>
  <c r="E18" i="5"/>
  <c r="L10" i="5"/>
  <c r="K18" i="5"/>
  <c r="J10" i="5"/>
  <c r="I18" i="5"/>
  <c r="G10" i="5"/>
  <c r="F18" i="5"/>
  <c r="K10" i="5"/>
  <c r="J18" i="5"/>
  <c r="G18" i="5"/>
  <c r="L14" i="5"/>
  <c r="J11" i="5"/>
  <c r="G11" i="5"/>
  <c r="G14" i="5"/>
  <c r="K11" i="5"/>
  <c r="J14" i="5"/>
  <c r="K14" i="5"/>
  <c r="H11" i="5"/>
  <c r="L11" i="5"/>
  <c r="H14" i="5"/>
  <c r="H10" i="5"/>
  <c r="D20" i="5" l="1" a="1"/>
  <c r="D20" i="5" s="1"/>
  <c r="W5" i="5" s="1"/>
  <c r="W10" i="5" s="1"/>
  <c r="N9" i="8" l="1"/>
  <c r="R9" i="8" s="1"/>
  <c r="H8" i="8"/>
  <c r="K8" i="8" s="1"/>
  <c r="L8" i="8" s="1"/>
  <c r="Y8" i="8" s="1"/>
  <c r="AA8" i="8" s="1"/>
  <c r="C8" i="8"/>
  <c r="H9" i="8" l="1"/>
  <c r="H10" i="8"/>
  <c r="K10" i="8" s="1"/>
  <c r="L10" i="8" s="1"/>
  <c r="Y10" i="8" s="1"/>
  <c r="AA10" i="8" s="1"/>
  <c r="N10" i="8"/>
  <c r="R10" i="8" s="1"/>
  <c r="N8" i="8"/>
  <c r="R8" i="8" s="1"/>
  <c r="C3" i="8"/>
  <c r="C13" i="8"/>
  <c r="S9" i="8"/>
  <c r="U9" i="8" s="1"/>
  <c r="T9" i="8"/>
  <c r="V9" i="8" s="1"/>
  <c r="H5" i="8" l="1"/>
  <c r="K5" i="8" s="1"/>
  <c r="L5" i="8" s="1"/>
  <c r="Y5" i="8" s="1"/>
  <c r="AA5" i="8" s="1"/>
  <c r="N5" i="8"/>
  <c r="R5" i="8" s="1"/>
  <c r="H3" i="8"/>
  <c r="K3" i="8" s="1"/>
  <c r="L3" i="8" s="1"/>
  <c r="Y3" i="8" s="1"/>
  <c r="AA3" i="8" s="1"/>
  <c r="N3" i="8"/>
  <c r="R3" i="8" s="1"/>
  <c r="N4" i="8"/>
  <c r="R4" i="8" s="1"/>
  <c r="H4" i="8"/>
  <c r="T10" i="8"/>
  <c r="V10" i="8" s="1"/>
  <c r="S10" i="8"/>
  <c r="U10" i="8" s="1"/>
  <c r="H14" i="8"/>
  <c r="K14" i="8" s="1"/>
  <c r="L14" i="8" s="1"/>
  <c r="Y14" i="8" s="1"/>
  <c r="AA14" i="8" s="1"/>
  <c r="H13" i="8"/>
  <c r="K13" i="8" s="1"/>
  <c r="L13" i="8" s="1"/>
  <c r="Y13" i="8" s="1"/>
  <c r="AA13" i="8" s="1"/>
  <c r="N14" i="8"/>
  <c r="R14" i="8" s="1"/>
  <c r="N15" i="8"/>
  <c r="R15" i="8" s="1"/>
  <c r="H15" i="8"/>
  <c r="K15" i="8" s="1"/>
  <c r="L15" i="8" s="1"/>
  <c r="Y15" i="8" s="1"/>
  <c r="AA15" i="8" s="1"/>
  <c r="N13" i="8"/>
  <c r="R13" i="8" s="1"/>
  <c r="T8" i="8"/>
  <c r="V8" i="8" s="1"/>
  <c r="S8" i="8"/>
  <c r="U8" i="8" s="1"/>
  <c r="G30" i="5"/>
  <c r="G31" i="5" s="1"/>
  <c r="F30" i="5"/>
  <c r="F31" i="5" s="1"/>
  <c r="I30" i="5"/>
  <c r="I31" i="5" s="1"/>
  <c r="J30" i="5"/>
  <c r="J31" i="5" s="1"/>
  <c r="D30" i="5"/>
  <c r="H30" i="5"/>
  <c r="H31" i="5" s="1"/>
  <c r="L30" i="5"/>
  <c r="L31" i="5" s="1"/>
  <c r="E30" i="5"/>
  <c r="E31" i="5" s="1"/>
  <c r="K4" i="8"/>
  <c r="L4" i="8" s="1"/>
  <c r="Y4" i="8" s="1"/>
  <c r="AA4" i="8" s="1"/>
  <c r="K30" i="5"/>
  <c r="K31" i="5" s="1"/>
  <c r="K9" i="8"/>
  <c r="AB10" i="8" l="1"/>
  <c r="D31" i="5"/>
  <c r="D32" i="5" s="1"/>
  <c r="W9" i="5" s="1"/>
  <c r="L9" i="8"/>
  <c r="Y9" i="8" s="1"/>
  <c r="AA9" i="8" s="1"/>
  <c r="AB9" i="8" s="1"/>
  <c r="T14" i="8"/>
  <c r="V14" i="8" s="1"/>
  <c r="S14" i="8"/>
  <c r="U14" i="8" s="1"/>
  <c r="T3" i="8"/>
  <c r="V3" i="8" s="1"/>
  <c r="S3" i="8"/>
  <c r="U3" i="8" s="1"/>
  <c r="S13" i="8"/>
  <c r="U13" i="8" s="1"/>
  <c r="T13" i="8"/>
  <c r="V13" i="8" s="1"/>
  <c r="AB13" i="8" s="1"/>
  <c r="T5" i="8"/>
  <c r="V5" i="8" s="1"/>
  <c r="S5" i="8"/>
  <c r="U5" i="8" s="1"/>
  <c r="T15" i="8"/>
  <c r="V15" i="8" s="1"/>
  <c r="S15" i="8"/>
  <c r="U15" i="8" s="1"/>
  <c r="S4" i="8"/>
  <c r="U4" i="8" s="1"/>
  <c r="T4" i="8"/>
  <c r="V4" i="8" s="1"/>
  <c r="AB8" i="8"/>
  <c r="AB11" i="8" s="1"/>
  <c r="AB4" i="8" l="1"/>
  <c r="AB15" i="8"/>
  <c r="AB3" i="8"/>
  <c r="AB5" i="8"/>
  <c r="AB14" i="8"/>
  <c r="AB16" i="8" s="1"/>
  <c r="AB6" i="8" l="1"/>
  <c r="AB17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7420E8-4AC2-4A09-8B58-265AAB62EACB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<sst xmlns="http://schemas.openxmlformats.org/spreadsheetml/2006/main" count="466" uniqueCount="235">
  <si>
    <t>R</t>
  </si>
  <si>
    <t>Hc</t>
  </si>
  <si>
    <t>Xc</t>
  </si>
  <si>
    <t>Lc</t>
  </si>
  <si>
    <t>Lr</t>
  </si>
  <si>
    <t>Building Dims</t>
  </si>
  <si>
    <t>Length</t>
  </si>
  <si>
    <t>Atmospheric Conditions</t>
  </si>
  <si>
    <t>Intake Coords</t>
  </si>
  <si>
    <t>x</t>
  </si>
  <si>
    <t>y</t>
  </si>
  <si>
    <t>Feature Coords</t>
  </si>
  <si>
    <t>Feature Dims</t>
  </si>
  <si>
    <t>Stack Coords</t>
  </si>
  <si>
    <t>Stack Dims</t>
  </si>
  <si>
    <t>Flat Roof</t>
  </si>
  <si>
    <t>Features</t>
  </si>
  <si>
    <t>Peak Upwind Recirc</t>
  </si>
  <si>
    <t>Peak Downwind Recirc</t>
  </si>
  <si>
    <t>Inputs</t>
  </si>
  <si>
    <t>Units</t>
  </si>
  <si>
    <t>Convert To:</t>
  </si>
  <si>
    <t>Converted Inputs</t>
  </si>
  <si>
    <t>m</t>
  </si>
  <si>
    <t>ft</t>
  </si>
  <si>
    <t>in</t>
  </si>
  <si>
    <t>km</t>
  </si>
  <si>
    <t>cm</t>
  </si>
  <si>
    <t>mm</t>
  </si>
  <si>
    <t>Distance</t>
  </si>
  <si>
    <t>Velocity</t>
  </si>
  <si>
    <t>m/s</t>
  </si>
  <si>
    <t>mph</t>
  </si>
  <si>
    <t>ft/s</t>
  </si>
  <si>
    <t>in/s</t>
  </si>
  <si>
    <t>knots</t>
  </si>
  <si>
    <t>km/h</t>
  </si>
  <si>
    <t>multiply to get m</t>
  </si>
  <si>
    <t>multiply to get m/s</t>
  </si>
  <si>
    <t>Uh</t>
  </si>
  <si>
    <t>U1%</t>
  </si>
  <si>
    <t>Ve/Uh</t>
  </si>
  <si>
    <t>hd</t>
  </si>
  <si>
    <t>-</t>
  </si>
  <si>
    <t>Base Building</t>
  </si>
  <si>
    <t>X</t>
  </si>
  <si>
    <t>Y</t>
  </si>
  <si>
    <t>Intakes</t>
  </si>
  <si>
    <t>Height (H)</t>
  </si>
  <si>
    <t>Length (L)</t>
  </si>
  <si>
    <t>Depth (W)</t>
  </si>
  <si>
    <t>Wind Measured (Umet)</t>
  </si>
  <si>
    <t>Anenometer Height (Hmet)</t>
  </si>
  <si>
    <t>Height (Hfn)</t>
  </si>
  <si>
    <t>Length (Lfn)</t>
  </si>
  <si>
    <t>Depth (Dfn)</t>
  </si>
  <si>
    <t>X (Xfn)</t>
  </si>
  <si>
    <t>Z (Zfn)</t>
  </si>
  <si>
    <t>X (Xin)</t>
  </si>
  <si>
    <t>Z (Zin)</t>
  </si>
  <si>
    <t>X (Xs)</t>
  </si>
  <si>
    <t>Z (Zs)</t>
  </si>
  <si>
    <t>Diameter (d)</t>
  </si>
  <si>
    <t>Exhaust Velocity (Ve)</t>
  </si>
  <si>
    <t>Stack Cap Factor (ß)</t>
  </si>
  <si>
    <t>Cap Factor</t>
  </si>
  <si>
    <t>Full Cap</t>
  </si>
  <si>
    <t>No Cap</t>
  </si>
  <si>
    <t>Boundary Layer Params</t>
  </si>
  <si>
    <t>Flat, Water, Desert</t>
  </si>
  <si>
    <t>Flat, Airport, Grassland</t>
  </si>
  <si>
    <t>Suburban</t>
  </si>
  <si>
    <t>Urban</t>
  </si>
  <si>
    <t>z0, m</t>
  </si>
  <si>
    <t>a</t>
  </si>
  <si>
    <t>δ, m</t>
  </si>
  <si>
    <t>Building Terrain (z0, ab, δb)</t>
  </si>
  <si>
    <t>Anenometer Terrain (z0, amet, δmet)</t>
  </si>
  <si>
    <t>z0</t>
  </si>
  <si>
    <t>ab</t>
  </si>
  <si>
    <t>δb</t>
  </si>
  <si>
    <t>δmet</t>
  </si>
  <si>
    <t>amet</t>
  </si>
  <si>
    <t>z0 (m)</t>
  </si>
  <si>
    <t>δb (m)</t>
  </si>
  <si>
    <t>δmet (m)</t>
  </si>
  <si>
    <t>Stack</t>
  </si>
  <si>
    <t>A</t>
  </si>
  <si>
    <t>B</t>
  </si>
  <si>
    <t>C</t>
  </si>
  <si>
    <t>D</t>
  </si>
  <si>
    <t>E</t>
  </si>
  <si>
    <t>F</t>
  </si>
  <si>
    <t>G</t>
  </si>
  <si>
    <t>H</t>
  </si>
  <si>
    <t>I</t>
  </si>
  <si>
    <t>Recirc</t>
  </si>
  <si>
    <t>Up X FA</t>
  </si>
  <si>
    <t>Up X FB</t>
  </si>
  <si>
    <t>Up X FC</t>
  </si>
  <si>
    <t>Up X FD</t>
  </si>
  <si>
    <t>Up X FE</t>
  </si>
  <si>
    <t>Up X FF</t>
  </si>
  <si>
    <t>Up X FG</t>
  </si>
  <si>
    <t>Up X FH</t>
  </si>
  <si>
    <t>Up X FI</t>
  </si>
  <si>
    <t>Down X FA</t>
  </si>
  <si>
    <t>Down X FB</t>
  </si>
  <si>
    <t>Down X FC</t>
  </si>
  <si>
    <t>Down X FD</t>
  </si>
  <si>
    <t>Down X FE</t>
  </si>
  <si>
    <t>Down X FF</t>
  </si>
  <si>
    <t>Down X FG</t>
  </si>
  <si>
    <t>Down X FH</t>
  </si>
  <si>
    <t>Down X FI</t>
  </si>
  <si>
    <t>Down X Base</t>
  </si>
  <si>
    <t>Up Base</t>
  </si>
  <si>
    <t>Peak</t>
  </si>
  <si>
    <t>Peak Stacks</t>
  </si>
  <si>
    <t>Up</t>
  </si>
  <si>
    <t>Down</t>
  </si>
  <si>
    <t>(Uh)/(U*)</t>
  </si>
  <si>
    <t>Plume Rise</t>
  </si>
  <si>
    <t>Bj</t>
  </si>
  <si>
    <t>Fm</t>
  </si>
  <si>
    <t>hx</t>
  </si>
  <si>
    <t>hf</t>
  </si>
  <si>
    <t>hr</t>
  </si>
  <si>
    <t>dist</t>
  </si>
  <si>
    <t>hs</t>
  </si>
  <si>
    <t>Capped Max Stack Height</t>
  </si>
  <si>
    <t>Final Stack Height</t>
  </si>
  <si>
    <t>▲Z recc</t>
  </si>
  <si>
    <t>▲ Z</t>
  </si>
  <si>
    <t>upwind</t>
  </si>
  <si>
    <t>base</t>
  </si>
  <si>
    <t>fa</t>
  </si>
  <si>
    <t>xc</t>
  </si>
  <si>
    <t>hc</t>
  </si>
  <si>
    <t>lc</t>
  </si>
  <si>
    <t>f</t>
  </si>
  <si>
    <t>U</t>
  </si>
  <si>
    <t>sigma0</t>
  </si>
  <si>
    <t>ix</t>
  </si>
  <si>
    <t>iz x</t>
  </si>
  <si>
    <t>sig y</t>
  </si>
  <si>
    <t>sig z</t>
  </si>
  <si>
    <t>bj</t>
  </si>
  <si>
    <t>Uh/U*</t>
  </si>
  <si>
    <t xml:space="preserve"> hf</t>
  </si>
  <si>
    <t>hplume</t>
  </si>
  <si>
    <t>z</t>
  </si>
  <si>
    <t>Dr</t>
  </si>
  <si>
    <t>.35de</t>
  </si>
  <si>
    <t>n</t>
  </si>
  <si>
    <t>zeta</t>
  </si>
  <si>
    <t>iy</t>
  </si>
  <si>
    <t>htop</t>
  </si>
  <si>
    <t>hstack</t>
  </si>
  <si>
    <t>Stack Cap Factor</t>
  </si>
  <si>
    <t>Minimum</t>
  </si>
  <si>
    <t xml:space="preserve"> </t>
  </si>
  <si>
    <t>B Dims</t>
  </si>
  <si>
    <t>Umet</t>
  </si>
  <si>
    <t>Hmet</t>
  </si>
  <si>
    <t>delb</t>
  </si>
  <si>
    <t>Diameter</t>
  </si>
  <si>
    <t>Ve</t>
  </si>
  <si>
    <t>SCF</t>
  </si>
  <si>
    <t>xp</t>
  </si>
  <si>
    <t>yp</t>
  </si>
  <si>
    <t>zp</t>
  </si>
  <si>
    <t>xd</t>
  </si>
  <si>
    <t>yd</t>
  </si>
  <si>
    <t>zd</t>
  </si>
  <si>
    <t>F 1</t>
  </si>
  <si>
    <t>F 2</t>
  </si>
  <si>
    <t>F 3</t>
  </si>
  <si>
    <t>F 4</t>
  </si>
  <si>
    <t>F 5</t>
  </si>
  <si>
    <t>F 6</t>
  </si>
  <si>
    <t>F 7</t>
  </si>
  <si>
    <t>F 8</t>
  </si>
  <si>
    <t>I 1</t>
  </si>
  <si>
    <t>I 2</t>
  </si>
  <si>
    <t>I 3</t>
  </si>
  <si>
    <t>I 4</t>
  </si>
  <si>
    <t>I 5</t>
  </si>
  <si>
    <t>I 6</t>
  </si>
  <si>
    <t>I 7</t>
  </si>
  <si>
    <t>I 8</t>
  </si>
  <si>
    <t>S 1</t>
  </si>
  <si>
    <t>S 2</t>
  </si>
  <si>
    <t>S 3</t>
  </si>
  <si>
    <t>S 4</t>
  </si>
  <si>
    <t>S 5</t>
  </si>
  <si>
    <t>S 6</t>
  </si>
  <si>
    <t>S 7</t>
  </si>
  <si>
    <t>S 8</t>
  </si>
  <si>
    <t>1 B</t>
  </si>
  <si>
    <t>2 F1</t>
  </si>
  <si>
    <t>3 F2</t>
  </si>
  <si>
    <t>4 F3</t>
  </si>
  <si>
    <t>5 F4</t>
  </si>
  <si>
    <t>6 F5</t>
  </si>
  <si>
    <t>7 F6</t>
  </si>
  <si>
    <t>8 F7</t>
  </si>
  <si>
    <t>9 F8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</si>
  <si>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</si>
  <si>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</si>
  <si>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</si>
  <si>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</si>
  <si>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</si>
  <si>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</si>
  <si>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</si>
  <si>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</si>
  <si>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</si>
  <si>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</si>
  <si>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</si>
  <si>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</si>
  <si>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</si>
  <si>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</si>
  <si>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</si>
  <si>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</si>
  <si>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xpos</t>
  </si>
  <si>
    <t>ypos</t>
  </si>
  <si>
    <t>zpos</t>
  </si>
  <si>
    <t>10 S1</t>
  </si>
  <si>
    <t>11 S2</t>
  </si>
  <si>
    <t>12 S3</t>
  </si>
  <si>
    <t>13 S4</t>
  </si>
  <si>
    <t>14 S5</t>
  </si>
  <si>
    <t>15 S6</t>
  </si>
  <si>
    <t>16 S7</t>
  </si>
  <si>
    <t>17 S8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</si>
</sst>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9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0" borderId="0" xfId="0" applyFont="1"/>
    <xf numFmtId="0" fontId="2" fillId="3" borderId="0" xfId="0" applyFont="1" applyFill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wrapText="1"/>
    </xf>
    <xf numFmtId="0" fontId="3" fillId="2" borderId="3" xfId="0" applyFont="1" applyFill="1" applyBorder="1"/>
    <xf numFmtId="0" fontId="3" fillId="0" borderId="0" xfId="0" applyFont="1" applyAlignment="1">
      <alignment wrapText="1"/>
    </xf>
    <xf numFmtId="0" fontId="2" fillId="3" borderId="11" xfId="0" applyFont="1" applyFill="1" applyBorder="1" applyAlignment="1">
      <alignment wrapText="1"/>
    </xf>
    <xf numFmtId="0" fontId="2" fillId="3" borderId="11" xfId="0" applyFont="1" applyFill="1" applyBorder="1"/>
    <xf numFmtId="0" fontId="2" fillId="0" borderId="5" xfId="0" applyFont="1" applyBorder="1" applyAlignment="1">
      <alignment wrapText="1"/>
    </xf>
    <xf numFmtId="0" fontId="2" fillId="6" borderId="3" xfId="0" applyFont="1" applyFill="1" applyBorder="1" applyAlignment="1">
      <alignment wrapText="1"/>
    </xf>
    <xf numFmtId="0" fontId="2" fillId="2" borderId="3" xfId="0" applyFont="1" applyFill="1" applyBorder="1"/>
    <xf numFmtId="0" fontId="2" fillId="0" borderId="12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2" fillId="3" borderId="3" xfId="0" applyFont="1" applyFill="1" applyBorder="1"/>
    <xf numFmtId="0" fontId="2" fillId="0" borderId="3" xfId="0" applyFont="1" applyBorder="1"/>
    <xf numFmtId="0" fontId="3" fillId="0" borderId="6" xfId="0" applyFont="1" applyBorder="1" applyAlignment="1">
      <alignment wrapText="1"/>
    </xf>
    <xf numFmtId="0" fontId="2" fillId="0" borderId="8" xfId="0" applyFont="1" applyBorder="1" applyAlignment="1">
      <alignment wrapText="1"/>
    </xf>
    <xf numFmtId="0" fontId="2" fillId="2" borderId="4" xfId="0" applyFont="1" applyFill="1" applyBorder="1"/>
    <xf numFmtId="0" fontId="3" fillId="0" borderId="9" xfId="0" applyFont="1" applyBorder="1" applyAlignment="1">
      <alignment wrapText="1"/>
    </xf>
    <xf numFmtId="0" fontId="2" fillId="3" borderId="0" xfId="0" applyFont="1" applyFill="1" applyAlignment="1">
      <alignment wrapText="1"/>
    </xf>
    <xf numFmtId="0" fontId="2" fillId="2" borderId="1" xfId="0" applyFont="1" applyFill="1" applyBorder="1" applyAlignment="1">
      <alignment wrapText="1"/>
    </xf>
    <xf numFmtId="0" fontId="2" fillId="6" borderId="0" xfId="0" applyFont="1" applyFill="1" applyAlignment="1">
      <alignment wrapText="1"/>
    </xf>
    <xf numFmtId="0" fontId="2" fillId="7" borderId="3" xfId="0" applyFont="1" applyFill="1" applyBorder="1"/>
    <xf numFmtId="0" fontId="4" fillId="2" borderId="2" xfId="0" applyFont="1" applyFill="1" applyBorder="1" applyAlignment="1">
      <alignment wrapText="1"/>
    </xf>
    <xf numFmtId="0" fontId="4" fillId="2" borderId="0" xfId="0" applyFont="1" applyFill="1"/>
    <xf numFmtId="0" fontId="4" fillId="2" borderId="7" xfId="0" applyFont="1" applyFill="1" applyBorder="1"/>
    <xf numFmtId="0" fontId="2" fillId="2" borderId="1" xfId="0" applyFont="1" applyFill="1" applyBorder="1"/>
    <xf numFmtId="0" fontId="2" fillId="2" borderId="10" xfId="0" applyFont="1" applyFill="1" applyBorder="1"/>
    <xf numFmtId="0" fontId="3" fillId="4" borderId="3" xfId="0" applyFont="1" applyFill="1" applyBorder="1" applyAlignment="1">
      <alignment wrapText="1"/>
    </xf>
    <xf numFmtId="0" fontId="3" fillId="4" borderId="3" xfId="0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4" borderId="3" xfId="0" applyFont="1" applyFill="1" applyBorder="1" applyAlignment="1">
      <alignment horizontal="left" vertical="center" wrapText="1"/>
    </xf>
    <xf numFmtId="0" fontId="2" fillId="5" borderId="3" xfId="0" applyFont="1" applyFill="1" applyBorder="1"/>
    <xf numFmtId="0" fontId="2" fillId="3" borderId="3" xfId="0" applyFont="1" applyFill="1" applyBorder="1" applyAlignment="1">
      <alignment horizontal="left" vertical="center" wrapText="1"/>
    </xf>
    <xf numFmtId="0" fontId="2" fillId="5" borderId="11" xfId="0" applyFont="1" applyFill="1" applyBorder="1"/>
    <xf numFmtId="0" fontId="2" fillId="4" borderId="4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4" fillId="5" borderId="3" xfId="0" applyFont="1" applyFill="1" applyBorder="1"/>
    <xf numFmtId="0" fontId="0" fillId="0" borderId="3" xfId="0" applyBorder="1"/>
    <xf numFmtId="0" fontId="2" fillId="0" borderId="3" xfId="0" applyFont="1" applyBorder="1" applyAlignment="1">
      <alignment wrapText="1"/>
    </xf>
    <xf numFmtId="0" fontId="5" fillId="0" borderId="3" xfId="1" applyNumberFormat="1" applyFont="1" applyFill="1" applyBorder="1"/>
    <xf numFmtId="0" fontId="0" fillId="0" borderId="11" xfId="0" applyBorder="1"/>
    <xf numFmtId="0" fontId="0" fillId="0" borderId="17" xfId="0" applyBorder="1"/>
    <xf numFmtId="0" fontId="0" fillId="0" borderId="19" xfId="0" applyBorder="1"/>
    <xf numFmtId="0" fontId="0" fillId="0" borderId="18" xfId="0" applyBorder="1"/>
    <xf numFmtId="0" fontId="2" fillId="0" borderId="18" xfId="0" applyFont="1" applyBorder="1" applyAlignment="1">
      <alignment wrapText="1"/>
    </xf>
    <xf numFmtId="0" fontId="0" fillId="0" borderId="12" xfId="0" applyBorder="1"/>
    <xf numFmtId="0" fontId="1" fillId="0" borderId="3" xfId="0" applyFont="1" applyBorder="1"/>
    <xf numFmtId="0" fontId="0" fillId="0" borderId="20" xfId="1" applyNumberFormat="1" applyFont="1" applyFill="1" applyBorder="1"/>
    <xf numFmtId="0" fontId="0" fillId="0" borderId="21" xfId="0" applyBorder="1"/>
    <xf numFmtId="0" fontId="1" fillId="0" borderId="12" xfId="0" applyFont="1" applyBorder="1"/>
    <xf numFmtId="0" fontId="1" fillId="0" borderId="20" xfId="1" applyNumberFormat="1" applyFont="1" applyFill="1" applyBorder="1"/>
    <xf numFmtId="0" fontId="0" fillId="0" borderId="22" xfId="0" applyBorder="1"/>
    <xf numFmtId="0" fontId="1" fillId="0" borderId="22" xfId="0" applyFont="1" applyBorder="1"/>
    <xf numFmtId="0" fontId="0" fillId="0" borderId="23" xfId="1" applyNumberFormat="1" applyFont="1" applyFill="1" applyBorder="1"/>
    <xf numFmtId="0" fontId="0" fillId="0" borderId="13" xfId="0" applyBorder="1"/>
    <xf numFmtId="0" fontId="1" fillId="0" borderId="13" xfId="0" applyFont="1" applyBorder="1"/>
    <xf numFmtId="0" fontId="0" fillId="0" borderId="16" xfId="0" applyBorder="1"/>
    <xf numFmtId="0" fontId="0" fillId="0" borderId="15" xfId="1" applyNumberFormat="1" applyFont="1" applyFill="1" applyBorder="1"/>
    <xf numFmtId="0" fontId="1" fillId="0" borderId="17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3" xfId="0" applyFont="1" applyBorder="1"/>
    <xf numFmtId="0" fontId="3" fillId="2" borderId="11" xfId="0" applyFont="1" applyFill="1" applyBorder="1" applyAlignment="1">
      <alignment wrapText="1"/>
    </xf>
    <xf numFmtId="49" fontId="2" fillId="6" borderId="24" xfId="0" applyNumberFormat="1" applyFont="1" applyFill="1" applyBorder="1" applyAlignment="1">
      <alignment wrapText="1"/>
    </xf>
    <xf numFmtId="49" fontId="2" fillId="6" borderId="13" xfId="0" applyNumberFormat="1" applyFont="1" applyFill="1" applyBorder="1" applyAlignment="1">
      <alignment wrapText="1"/>
    </xf>
    <xf numFmtId="49" fontId="2" fillId="6" borderId="3" xfId="0" applyNumberFormat="1" applyFont="1" applyFill="1" applyBorder="1" applyAlignment="1">
      <alignment wrapText="1"/>
    </xf>
    <xf numFmtId="49" fontId="2" fillId="3" borderId="3" xfId="0" applyNumberFormat="1" applyFont="1" applyFill="1" applyBorder="1" applyAlignment="1">
      <alignment wrapText="1"/>
    </xf>
    <xf numFmtId="49" fontId="2" fillId="6" borderId="11" xfId="0" applyNumberFormat="1" applyFont="1" applyFill="1" applyBorder="1" applyAlignment="1">
      <alignment wrapText="1"/>
    </xf>
    <xf numFmtId="49" fontId="2" fillId="3" borderId="0" xfId="0" applyNumberFormat="1" applyFont="1" applyFill="1" applyAlignment="1">
      <alignment wrapText="1"/>
    </xf>
    <xf numFmtId="49" fontId="2" fillId="6" borderId="0" xfId="0" applyNumberFormat="1" applyFont="1" applyFill="1" applyAlignment="1">
      <alignment wrapText="1"/>
    </xf>
    <xf numFmtId="49" fontId="4" fillId="2" borderId="2" xfId="0" applyNumberFormat="1" applyFont="1" applyFill="1" applyBorder="1" applyAlignment="1">
      <alignment wrapText="1"/>
    </xf>
    <xf numFmtId="0" fontId="2" fillId="0" borderId="4" xfId="0" applyFont="1" applyBorder="1"/>
    <xf numFmtId="0" fontId="2" fillId="7" borderId="13" xfId="0" applyFont="1" applyFill="1" applyBorder="1"/>
    <xf numFmtId="0" fontId="2" fillId="2" borderId="3" xfId="0" applyFont="1" applyFill="1" applyBorder="1" applyAlignment="1">
      <alignment wrapText="1"/>
    </xf>
    <xf numFmtId="49" fontId="2" fillId="0" borderId="0" xfId="0" applyNumberFormat="1" applyFont="1"/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13" xfId="0" applyFont="1" applyBorder="1" applyAlignment="1">
      <alignment horizont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5050"/>
      <color rgb="FF00FFFF"/>
      <color rgb="FFFFFF99"/>
      <color rgb="FFFF00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90568742198365"/>
          <c:y val="1.5594540542560202E-2"/>
          <c:w val="0.73607172521156372"/>
          <c:h val="0.92399161297893795"/>
        </c:manualLayout>
      </c:layout>
      <c:scatterChart>
        <c:scatterStyle val="lineMarker"/>
        <c:varyColors val="0"/>
        <c:ser>
          <c:idx val="0"/>
          <c:order val="0"/>
          <c:tx>
            <c:strRef>
              <c:f>BackEndR0!$Q$2:$Q$3</c:f>
              <c:strCache>
                <c:ptCount val="2"/>
                <c:pt idx="0">
                  <c:v>Intakes</c:v>
                </c:pt>
                <c:pt idx="1">
                  <c:v>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BackEndR0!$P$4:$P$10</c:f>
              <c:numCache>
                <c:formatCode>General</c:formatCode>
                <c:ptCount val="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BackEndR0!$Q$4:$Q$10</c:f>
              <c:numCache>
                <c:formatCode>General</c:formatCode>
                <c:ptCount val="7"/>
                <c:pt idx="0">
                  <c:v>17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9-4EE1-AFD2-A375261E2230}"/>
            </c:ext>
          </c:extLst>
        </c:ser>
        <c:ser>
          <c:idx val="2"/>
          <c:order val="1"/>
          <c:tx>
            <c:v>Feature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BackEndR0!$P$16:$P$20</c:f>
              <c:numCache>
                <c:formatCode>General</c:formatCode>
                <c:ptCount val="5"/>
                <c:pt idx="0">
                  <c:v>30</c:v>
                </c:pt>
                <c:pt idx="1">
                  <c:v>30</c:v>
                </c:pt>
                <c:pt idx="2">
                  <c:v>37</c:v>
                </c:pt>
                <c:pt idx="3">
                  <c:v>37</c:v>
                </c:pt>
                <c:pt idx="4">
                  <c:v>30</c:v>
                </c:pt>
              </c:numCache>
            </c:numRef>
          </c:xVal>
          <c:yVal>
            <c:numRef>
              <c:f>BackEndR0!$Q$16:$Q$20</c:f>
              <c:numCache>
                <c:formatCode>General</c:formatCode>
                <c:ptCount val="5"/>
                <c:pt idx="0">
                  <c:v>15</c:v>
                </c:pt>
                <c:pt idx="1">
                  <c:v>19</c:v>
                </c:pt>
                <c:pt idx="2">
                  <c:v>19</c:v>
                </c:pt>
                <c:pt idx="3">
                  <c:v>15</c:v>
                </c:pt>
                <c:pt idx="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9-4EE1-AFD2-A375261E2230}"/>
            </c:ext>
          </c:extLst>
        </c:ser>
        <c:ser>
          <c:idx val="1"/>
          <c:order val="2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BackEndR0!$S$4:$S$8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62</c:v>
                </c:pt>
                <c:pt idx="3">
                  <c:v>62</c:v>
                </c:pt>
                <c:pt idx="4">
                  <c:v>0</c:v>
                </c:pt>
              </c:numCache>
            </c:numRef>
          </c:xVal>
          <c:yVal>
            <c:numRef>
              <c:f>BackEndR0!$T$4:$T$8</c:f>
              <c:numCache>
                <c:formatCode>General</c:formatCode>
                <c:ptCount val="5"/>
                <c:pt idx="0">
                  <c:v>0</c:v>
                </c:pt>
                <c:pt idx="1">
                  <c:v>15</c:v>
                </c:pt>
                <c:pt idx="2">
                  <c:v>15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9-4EE1-AFD2-A375261E2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800320"/>
        <c:axId val="1937789760"/>
      </c:scatterChart>
      <c:valAx>
        <c:axId val="1937800320"/>
        <c:scaling>
          <c:orientation val="minMax"/>
          <c:max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789760"/>
        <c:crosses val="autoZero"/>
        <c:crossBetween val="midCat"/>
      </c:valAx>
      <c:valAx>
        <c:axId val="1937789760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800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160020</xdr:rowOff>
    </xdr:from>
    <xdr:to>
      <xdr:col>10</xdr:col>
      <xdr:colOff>205740</xdr:colOff>
      <xdr:row>25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DCE15D-4DC4-0431-611F-D266CAAB0A39}"/>
            </a:ext>
          </a:extLst>
        </xdr:cNvPr>
        <xdr:cNvSpPr txBox="1"/>
      </xdr:nvSpPr>
      <xdr:spPr>
        <a:xfrm>
          <a:off x="617220" y="160020"/>
          <a:ext cx="5684520" cy="4427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ptos ExtraBold" panose="020F0502020204030204" pitchFamily="34" charset="0"/>
            </a:rPr>
            <a:t>What is this code</a:t>
          </a:r>
        </a:p>
        <a:p>
          <a:r>
            <a:rPr lang="en-US" sz="1100">
              <a:latin typeface="Aptos ExtraBold" panose="020F0502020204030204" pitchFamily="34" charset="0"/>
            </a:rPr>
            <a:t>What assumptions</a:t>
          </a:r>
          <a:r>
            <a:rPr lang="en-US" sz="1100" baseline="0">
              <a:latin typeface="Aptos ExtraBold" panose="020F0502020204030204" pitchFamily="34" charset="0"/>
            </a:rPr>
            <a:t> does it make</a:t>
          </a:r>
        </a:p>
        <a:p>
          <a:r>
            <a:rPr lang="en-US" sz="1100" baseline="0">
              <a:latin typeface="Aptos ExtraBold" panose="020F0502020204030204" pitchFamily="34" charset="0"/>
            </a:rPr>
            <a:t>Which circumstances are (in)appropriate</a:t>
          </a:r>
          <a:endParaRPr lang="en-US" sz="1100">
            <a:latin typeface="Aptos ExtraBold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22860</xdr:colOff>
      <xdr:row>0</xdr:row>
      <xdr:rowOff>0</xdr:rowOff>
    </xdr:from>
    <xdr:to>
      <xdr:col>8</xdr:col>
      <xdr:colOff>76200</xdr:colOff>
      <xdr:row>8</xdr:row>
      <xdr:rowOff>194105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07E688-2F37-0B53-A321-8EDF37E39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64280" y="0"/>
          <a:ext cx="3177540" cy="2030525"/>
        </a:xfrm>
        <a:prstGeom prst="rect">
          <a:avLst/>
        </a:prstGeom>
      </xdr:spPr>
    </xdr:pic>
    <xdr:clientData/>
  </xdr:twoCellAnchor>
  <xdr:twoCellAnchor>
    <xdr:from>
      <xdr:col>9</xdr:col>
      <xdr:colOff>140970</xdr:colOff>
      <xdr:row>1</xdr:row>
      <xdr:rowOff>41910</xdr:rowOff>
    </xdr:from>
    <xdr:to>
      <xdr:col>10</xdr:col>
      <xdr:colOff>445770</xdr:colOff>
      <xdr:row>2</xdr:row>
      <xdr:rowOff>198882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A5B5F5-6CA6-B43E-1677-EAF4298B054B}"/>
            </a:ext>
          </a:extLst>
        </xdr:cNvPr>
        <xdr:cNvSpPr/>
      </xdr:nvSpPr>
      <xdr:spPr>
        <a:xfrm>
          <a:off x="7399020" y="251460"/>
          <a:ext cx="895350" cy="36652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Clear</a:t>
          </a:r>
        </a:p>
      </xdr:txBody>
    </xdr:sp>
    <xdr:clientData/>
  </xdr:twoCellAnchor>
  <xdr:twoCellAnchor>
    <xdr:from>
      <xdr:col>9</xdr:col>
      <xdr:colOff>150495</xdr:colOff>
      <xdr:row>4</xdr:row>
      <xdr:rowOff>32385</xdr:rowOff>
    </xdr:from>
    <xdr:to>
      <xdr:col>10</xdr:col>
      <xdr:colOff>455295</xdr:colOff>
      <xdr:row>5</xdr:row>
      <xdr:rowOff>189357</xdr:rowOff>
    </xdr:to>
    <xdr:sp macro="[0]!RestoreLastInpu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82DD111-B0B7-4F0A-34AC-11006562B392}"/>
            </a:ext>
          </a:extLst>
        </xdr:cNvPr>
        <xdr:cNvSpPr/>
      </xdr:nvSpPr>
      <xdr:spPr>
        <a:xfrm>
          <a:off x="7408545" y="851535"/>
          <a:ext cx="895350" cy="36652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Restore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</xdr:row>
      <xdr:rowOff>4762</xdr:rowOff>
    </xdr:from>
    <xdr:to>
      <xdr:col>1</xdr:col>
      <xdr:colOff>523463</xdr:colOff>
      <xdr:row>3</xdr:row>
      <xdr:rowOff>11659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EC9F0A8-058A-2AA7-B0F8-E6B7C54581BA}"/>
            </a:ext>
          </a:extLst>
        </xdr:cNvPr>
        <xdr:cNvSpPr txBox="1"/>
      </xdr:nvSpPr>
      <xdr:spPr>
        <a:xfrm>
          <a:off x="85725" y="366712"/>
          <a:ext cx="1047338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endParaRPr lang="en-US" sz="1100"/>
        </a:p>
      </xdr:txBody>
    </xdr:sp>
    <xdr:clientData/>
  </xdr:twoCellAnchor>
  <xdr:twoCellAnchor>
    <xdr:from>
      <xdr:col>0</xdr:col>
      <xdr:colOff>38100</xdr:colOff>
      <xdr:row>2</xdr:row>
      <xdr:rowOff>23812</xdr:rowOff>
    </xdr:from>
    <xdr:to>
      <xdr:col>1</xdr:col>
      <xdr:colOff>581025</xdr:colOff>
      <xdr:row>3</xdr:row>
      <xdr:rowOff>9525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F5881DB-D45C-E007-FA5A-5DDC2F09B786}"/>
                </a:ext>
              </a:extLst>
            </xdr:cNvPr>
            <xdr:cNvSpPr txBox="1"/>
          </xdr:nvSpPr>
          <xdr:spPr>
            <a:xfrm>
              <a:off x="38100" y="385762"/>
              <a:ext cx="1171575" cy="1666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0.67</m:t>
                        </m:r>
                      </m:sup>
                    </m:sSup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0.33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F5881DB-D45C-E007-FA5A-5DDC2F09B786}"/>
                </a:ext>
              </a:extLst>
            </xdr:cNvPr>
            <xdr:cNvSpPr txBox="1"/>
          </xdr:nvSpPr>
          <xdr:spPr>
            <a:xfrm>
              <a:off x="38100" y="385762"/>
              <a:ext cx="1171575" cy="1666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𝑅= 〖𝐵_𝑠〗^0.67 〖∗𝐵_𝐿〗^0.33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0</xdr:col>
      <xdr:colOff>38100</xdr:colOff>
      <xdr:row>3</xdr:row>
      <xdr:rowOff>23812</xdr:rowOff>
    </xdr:from>
    <xdr:to>
      <xdr:col>1</xdr:col>
      <xdr:colOff>559611</xdr:colOff>
      <xdr:row>4</xdr:row>
      <xdr:rowOff>16603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748E5F4-76AE-4C49-B5FC-7B454C6D369B}"/>
                </a:ext>
              </a:extLst>
            </xdr:cNvPr>
            <xdr:cNvSpPr txBox="1"/>
          </xdr:nvSpPr>
          <xdr:spPr>
            <a:xfrm>
              <a:off x="38100" y="56673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=0.22∗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748E5F4-76AE-4C49-B5FC-7B454C6D369B}"/>
                </a:ext>
              </a:extLst>
            </xdr:cNvPr>
            <xdr:cNvSpPr txBox="1"/>
          </xdr:nvSpPr>
          <xdr:spPr>
            <a:xfrm>
              <a:off x="38100" y="56673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𝐻_𝑐=0.22∗𝑅</a:t>
              </a:r>
              <a:endParaRPr lang="en-US" sz="1100"/>
            </a:p>
          </xdr:txBody>
        </xdr:sp>
      </mc:Fallback>
    </mc:AlternateContent>
    <xdr:clientData/>
  </xdr:twoCellAnchor>
  <xdr:oneCellAnchor>
    <xdr:from>
      <xdr:col>0</xdr:col>
      <xdr:colOff>342900</xdr:colOff>
      <xdr:row>3</xdr:row>
      <xdr:rowOff>128587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D3C080B-4864-4D25-AE8F-564B338BC0F4}"/>
            </a:ext>
          </a:extLst>
        </xdr:cNvPr>
        <xdr:cNvSpPr txBox="1"/>
      </xdr:nvSpPr>
      <xdr:spPr>
        <a:xfrm>
          <a:off x="342900" y="6715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495300</xdr:colOff>
      <xdr:row>4</xdr:row>
      <xdr:rowOff>100012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E8657F2-E593-4975-B5C1-857F3CEE98D8}"/>
            </a:ext>
          </a:extLst>
        </xdr:cNvPr>
        <xdr:cNvSpPr txBox="1"/>
      </xdr:nvSpPr>
      <xdr:spPr>
        <a:xfrm>
          <a:off x="495300" y="8239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38100</xdr:colOff>
      <xdr:row>4</xdr:row>
      <xdr:rowOff>4762</xdr:rowOff>
    </xdr:from>
    <xdr:to>
      <xdr:col>1</xdr:col>
      <xdr:colOff>559611</xdr:colOff>
      <xdr:row>4</xdr:row>
      <xdr:rowOff>178528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624061C2-85EA-4CB2-9C30-C3FBAFD9F908}"/>
                </a:ext>
              </a:extLst>
            </xdr:cNvPr>
            <xdr:cNvSpPr txBox="1"/>
          </xdr:nvSpPr>
          <xdr:spPr>
            <a:xfrm>
              <a:off x="38100" y="728662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=0.5∗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624061C2-85EA-4CB2-9C30-C3FBAFD9F908}"/>
                </a:ext>
              </a:extLst>
            </xdr:cNvPr>
            <xdr:cNvSpPr txBox="1"/>
          </xdr:nvSpPr>
          <xdr:spPr>
            <a:xfrm>
              <a:off x="38100" y="728662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𝑋_𝑐=0.5∗𝑅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0</xdr:col>
      <xdr:colOff>57150</xdr:colOff>
      <xdr:row>5</xdr:row>
      <xdr:rowOff>23812</xdr:rowOff>
    </xdr:from>
    <xdr:to>
      <xdr:col>1</xdr:col>
      <xdr:colOff>578661</xdr:colOff>
      <xdr:row>6</xdr:row>
      <xdr:rowOff>16603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A94184C-349E-4E5B-B3A3-13E601768F84}"/>
                </a:ext>
              </a:extLst>
            </xdr:cNvPr>
            <xdr:cNvSpPr txBox="1"/>
          </xdr:nvSpPr>
          <xdr:spPr>
            <a:xfrm>
              <a:off x="57150" y="92868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=0.9∗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3A94184C-349E-4E5B-B3A3-13E601768F84}"/>
                </a:ext>
              </a:extLst>
            </xdr:cNvPr>
            <xdr:cNvSpPr txBox="1"/>
          </xdr:nvSpPr>
          <xdr:spPr>
            <a:xfrm>
              <a:off x="57150" y="92868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𝐿_𝑐=0.9∗𝑅</a:t>
              </a:r>
              <a:endParaRPr lang="en-US" sz="1100"/>
            </a:p>
          </xdr:txBody>
        </xdr:sp>
      </mc:Fallback>
    </mc:AlternateContent>
    <xdr:clientData/>
  </xdr:twoCellAnchor>
  <xdr:twoCellAnchor>
    <xdr:from>
      <xdr:col>0</xdr:col>
      <xdr:colOff>28575</xdr:colOff>
      <xdr:row>6</xdr:row>
      <xdr:rowOff>14287</xdr:rowOff>
    </xdr:from>
    <xdr:to>
      <xdr:col>1</xdr:col>
      <xdr:colOff>550086</xdr:colOff>
      <xdr:row>7</xdr:row>
      <xdr:rowOff>7078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54AAFA4-8C03-4A13-895F-FF932CBCB8AB}"/>
                </a:ext>
              </a:extLst>
            </xdr:cNvPr>
            <xdr:cNvSpPr txBox="1"/>
          </xdr:nvSpPr>
          <xdr:spPr>
            <a:xfrm>
              <a:off x="28575" y="110013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</m:t>
                    </m:r>
                  </m:oMath>
                </m:oMathPara>
              </a14:m>
              <a:endParaRPr lang="en-US" sz="1100" b="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54AAFA4-8C03-4A13-895F-FF932CBCB8AB}"/>
                </a:ext>
              </a:extLst>
            </xdr:cNvPr>
            <xdr:cNvSpPr txBox="1"/>
          </xdr:nvSpPr>
          <xdr:spPr>
            <a:xfrm>
              <a:off x="28575" y="1100137"/>
              <a:ext cx="1150161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𝐿_𝑅=𝑅</a:t>
              </a:r>
              <a:endParaRPr lang="en-US" sz="1100" b="0"/>
            </a:p>
            <a:p>
              <a:endParaRPr lang="en-US" sz="1100"/>
            </a:p>
          </xdr:txBody>
        </xdr:sp>
      </mc:Fallback>
    </mc:AlternateContent>
    <xdr:clientData/>
  </xdr:twoCellAnchor>
  <xdr:twoCellAnchor editAs="oneCell">
    <xdr:from>
      <xdr:col>2</xdr:col>
      <xdr:colOff>161925</xdr:colOff>
      <xdr:row>42</xdr:row>
      <xdr:rowOff>57150</xdr:rowOff>
    </xdr:from>
    <xdr:to>
      <xdr:col>11</xdr:col>
      <xdr:colOff>259080</xdr:colOff>
      <xdr:row>62</xdr:row>
      <xdr:rowOff>38100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7A60FD5-9602-0C6D-7F9A-765FD6675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175" y="8572500"/>
          <a:ext cx="7372350" cy="3981450"/>
        </a:xfrm>
        <a:prstGeom prst="rect">
          <a:avLst/>
        </a:prstGeom>
      </xdr:spPr>
    </xdr:pic>
    <xdr:clientData/>
  </xdr:twoCellAnchor>
  <xdr:twoCellAnchor editAs="oneCell">
    <xdr:from>
      <xdr:col>11</xdr:col>
      <xdr:colOff>750075</xdr:colOff>
      <xdr:row>45</xdr:row>
      <xdr:rowOff>121425</xdr:rowOff>
    </xdr:from>
    <xdr:to>
      <xdr:col>19</xdr:col>
      <xdr:colOff>5220</xdr:colOff>
      <xdr:row>58</xdr:row>
      <xdr:rowOff>28080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8CE06DB-1A02-8E21-3F51-EF143E9CC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5425" y="10894200"/>
          <a:ext cx="4533900" cy="2505075"/>
        </a:xfrm>
        <a:prstGeom prst="rect">
          <a:avLst/>
        </a:prstGeom>
      </xdr:spPr>
    </xdr:pic>
    <xdr:clientData/>
  </xdr:twoCellAnchor>
  <xdr:twoCellAnchor>
    <xdr:from>
      <xdr:col>34</xdr:col>
      <xdr:colOff>19050</xdr:colOff>
      <xdr:row>0</xdr:row>
      <xdr:rowOff>185737</xdr:rowOff>
    </xdr:from>
    <xdr:to>
      <xdr:col>46</xdr:col>
      <xdr:colOff>323850</xdr:colOff>
      <xdr:row>22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78A48B-48D6-4CBB-B584-6DC008F4B8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05284-97FF-4B66-AB54-C95338B782B2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CC978-93C0-44EA-A066-6B8938C49F97}">
  <sheetPr codeName="Sheet2"/>
  <dimension ref="A1:AI61"/>
  <sheetViews>
    <sheetView tabSelected="1" topLeftCell="A19" workbookViewId="0">
      <selection activeCell="G39" sqref="G39"/>
    </sheetView>
  </sheetViews>
  <sheetFormatPr defaultColWidth="8.85546875" defaultRowHeight="15.75" x14ac:dyDescent="0.25"/>
  <cols>
    <col min="1" max="1" width="24" style="6" bestFit="1" customWidth="1"/>
    <col min="2" max="2" width="19.7109375" style="6" bestFit="1" customWidth="1"/>
    <col min="3" max="3" width="10.85546875" style="4" customWidth="1"/>
    <col min="4" max="4" width="10" style="4" bestFit="1" customWidth="1"/>
    <col min="5" max="6" width="8.85546875" style="4"/>
    <col min="7" max="7" width="8.85546875" style="4" customWidth="1"/>
    <col min="8" max="12" width="8.85546875" style="4"/>
    <col min="13" max="13" width="9.7109375" style="4" bestFit="1" customWidth="1"/>
    <col min="14" max="27" width="8.85546875" style="4"/>
    <col min="28" max="28" width="32.85546875" style="4" customWidth="1"/>
    <col min="29" max="29" width="31.7109375" style="4" customWidth="1"/>
    <col min="30" max="30" width="20.85546875" style="4" customWidth="1"/>
    <col min="31" max="31" width="16.42578125" style="4" customWidth="1"/>
    <col min="32" max="32" width="15.85546875" style="4" customWidth="1"/>
    <col min="33" max="33" width="16.28515625" style="4" customWidth="1"/>
    <col min="34" max="34" width="14.7109375" style="4" customWidth="1"/>
    <col min="35" max="35" width="17.7109375" style="4" customWidth="1"/>
    <col min="36" max="16384" width="8.85546875" style="4"/>
  </cols>
  <sheetData>
    <row r="1" spans="1:35" ht="16.5" thickBot="1" x14ac:dyDescent="0.3">
      <c r="A1" s="8"/>
      <c r="B1" s="72" t="s">
        <v>20</v>
      </c>
      <c r="C1" s="9" t="s">
        <v>19</v>
      </c>
    </row>
    <row r="2" spans="1:35" ht="17.25" thickTop="1" thickBot="1" x14ac:dyDescent="0.3">
      <c r="A2" s="10" t="s">
        <v>5</v>
      </c>
      <c r="B2" s="73" t="s">
        <v>23</v>
      </c>
      <c r="C2" s="12"/>
      <c r="AB2" s="11"/>
      <c r="AC2" s="12"/>
    </row>
    <row r="3" spans="1:35" ht="16.5" thickTop="1" x14ac:dyDescent="0.25">
      <c r="A3" s="13" t="s">
        <v>48</v>
      </c>
      <c r="B3" s="74" t="str">
        <f>IF(ISBLANK(B2),Units!A9,B2)</f>
        <v>m</v>
      </c>
      <c r="C3" s="15">
        <v>15</v>
      </c>
      <c r="AB3" s="14"/>
      <c r="AC3" s="15"/>
    </row>
    <row r="4" spans="1:35" x14ac:dyDescent="0.25">
      <c r="A4" s="16" t="s">
        <v>49</v>
      </c>
      <c r="B4" s="75" t="s">
        <v>23</v>
      </c>
      <c r="C4" s="15">
        <v>62</v>
      </c>
      <c r="AB4" s="14"/>
      <c r="AC4" s="15"/>
    </row>
    <row r="5" spans="1:35" ht="16.5" thickBot="1" x14ac:dyDescent="0.3">
      <c r="A5" s="17" t="s">
        <v>50</v>
      </c>
      <c r="B5" s="75" t="s">
        <v>23</v>
      </c>
      <c r="C5" s="15">
        <v>50</v>
      </c>
      <c r="AB5" s="14"/>
      <c r="AC5" s="15"/>
    </row>
    <row r="6" spans="1:35" ht="16.5" thickBot="1" x14ac:dyDescent="0.3">
      <c r="A6" s="10" t="s">
        <v>7</v>
      </c>
      <c r="B6" s="76"/>
      <c r="C6" s="19"/>
      <c r="AB6" s="18"/>
      <c r="AC6" s="19"/>
    </row>
    <row r="7" spans="1:35" x14ac:dyDescent="0.25">
      <c r="A7" s="13" t="s">
        <v>51</v>
      </c>
      <c r="B7" s="75" t="s">
        <v>36</v>
      </c>
      <c r="C7" s="15">
        <v>12.8</v>
      </c>
      <c r="AB7" s="14"/>
      <c r="AC7" s="15"/>
    </row>
    <row r="8" spans="1:35" ht="32.25" thickBot="1" x14ac:dyDescent="0.3">
      <c r="A8" s="17" t="s">
        <v>52</v>
      </c>
      <c r="B8" s="77" t="s">
        <v>23</v>
      </c>
      <c r="C8" s="15">
        <v>10</v>
      </c>
      <c r="AB8" s="14"/>
      <c r="AC8" s="15"/>
    </row>
    <row r="9" spans="1:35" ht="17.25" thickTop="1" thickBot="1" x14ac:dyDescent="0.3">
      <c r="A9" s="10" t="s">
        <v>11</v>
      </c>
      <c r="B9" s="73"/>
      <c r="C9" s="19"/>
      <c r="AB9" s="18"/>
      <c r="AC9" s="19"/>
    </row>
    <row r="10" spans="1:35" ht="16.5" thickTop="1" x14ac:dyDescent="0.25">
      <c r="A10" s="13" t="s">
        <v>56</v>
      </c>
      <c r="B10" s="74" t="s">
        <v>23</v>
      </c>
      <c r="C10" s="15">
        <v>30</v>
      </c>
      <c r="D10" s="20"/>
      <c r="E10" s="20"/>
      <c r="F10" s="20"/>
      <c r="G10" s="20"/>
      <c r="H10" s="20"/>
      <c r="I10" s="81"/>
      <c r="J10" s="20"/>
      <c r="AB10" s="14"/>
      <c r="AC10" s="15"/>
      <c r="AD10" s="20"/>
      <c r="AE10" s="20"/>
      <c r="AF10" s="20"/>
      <c r="AG10" s="20"/>
      <c r="AH10" s="20"/>
      <c r="AI10" s="20"/>
    </row>
    <row r="11" spans="1:35" ht="16.5" thickBot="1" x14ac:dyDescent="0.3">
      <c r="A11" s="17" t="s">
        <v>57</v>
      </c>
      <c r="B11" s="77" t="s">
        <v>23</v>
      </c>
      <c r="C11" s="15">
        <v>15</v>
      </c>
      <c r="D11" s="20"/>
      <c r="E11" s="20"/>
      <c r="F11" s="20"/>
      <c r="G11" s="20"/>
      <c r="H11" s="20"/>
      <c r="I11" s="81"/>
      <c r="J11" s="20"/>
      <c r="AB11" s="14"/>
      <c r="AC11" s="15"/>
      <c r="AD11" s="20"/>
      <c r="AE11" s="20"/>
      <c r="AF11" s="20"/>
      <c r="AG11" s="20"/>
      <c r="AH11" s="20"/>
      <c r="AI11" s="20"/>
    </row>
    <row r="12" spans="1:35" ht="17.25" thickTop="1" thickBot="1" x14ac:dyDescent="0.3">
      <c r="A12" s="10" t="s">
        <v>12</v>
      </c>
      <c r="B12" s="73"/>
      <c r="C12" s="19"/>
      <c r="AB12" s="18"/>
      <c r="AC12" s="19"/>
    </row>
    <row r="13" spans="1:35" ht="16.5" thickTop="1" x14ac:dyDescent="0.25">
      <c r="A13" s="13" t="s">
        <v>53</v>
      </c>
      <c r="B13" s="74" t="s">
        <v>23</v>
      </c>
      <c r="C13" s="15">
        <v>4</v>
      </c>
      <c r="D13" s="20"/>
      <c r="E13" s="20"/>
      <c r="F13" s="20"/>
      <c r="G13" s="20"/>
      <c r="H13" s="20"/>
      <c r="I13" s="81"/>
      <c r="J13" s="20"/>
      <c r="AB13" s="14"/>
      <c r="AC13" s="15"/>
      <c r="AD13" s="20"/>
      <c r="AE13" s="20"/>
      <c r="AF13" s="20"/>
      <c r="AG13" s="20"/>
      <c r="AH13" s="20"/>
      <c r="AI13" s="20"/>
    </row>
    <row r="14" spans="1:35" x14ac:dyDescent="0.25">
      <c r="A14" s="16" t="s">
        <v>54</v>
      </c>
      <c r="B14" s="75" t="s">
        <v>23</v>
      </c>
      <c r="C14" s="15">
        <v>7</v>
      </c>
      <c r="D14" s="20"/>
      <c r="E14" s="20"/>
      <c r="F14" s="20"/>
      <c r="G14" s="20"/>
      <c r="H14" s="20"/>
      <c r="I14" s="81"/>
      <c r="J14" s="20"/>
      <c r="AB14" s="14"/>
      <c r="AC14" s="15"/>
      <c r="AD14" s="20"/>
      <c r="AE14" s="20"/>
      <c r="AF14" s="20"/>
      <c r="AG14" s="20"/>
      <c r="AH14" s="20"/>
      <c r="AI14" s="20"/>
    </row>
    <row r="15" spans="1:35" ht="16.5" thickBot="1" x14ac:dyDescent="0.3">
      <c r="A15" s="17" t="s">
        <v>55</v>
      </c>
      <c r="B15" s="77" t="s">
        <v>23</v>
      </c>
      <c r="C15" s="15">
        <v>9</v>
      </c>
      <c r="D15" s="20"/>
      <c r="E15" s="20"/>
      <c r="F15" s="20"/>
      <c r="G15" s="20"/>
      <c r="H15" s="20"/>
      <c r="I15" s="81"/>
      <c r="J15" s="20"/>
      <c r="AB15" s="14"/>
      <c r="AC15" s="15"/>
      <c r="AD15" s="20"/>
      <c r="AE15" s="20"/>
      <c r="AF15" s="20"/>
      <c r="AG15" s="20"/>
      <c r="AH15" s="20"/>
      <c r="AI15" s="20"/>
    </row>
    <row r="16" spans="1:35" ht="17.25" thickTop="1" thickBot="1" x14ac:dyDescent="0.3">
      <c r="A16" s="10" t="s">
        <v>8</v>
      </c>
      <c r="B16" s="73"/>
      <c r="C16" s="19"/>
      <c r="AB16" s="18"/>
      <c r="AC16" s="19"/>
    </row>
    <row r="17" spans="1:35" ht="16.5" thickTop="1" x14ac:dyDescent="0.25">
      <c r="A17" s="13" t="s">
        <v>58</v>
      </c>
      <c r="B17" s="74" t="s">
        <v>23</v>
      </c>
      <c r="C17" s="15">
        <v>30</v>
      </c>
      <c r="D17" s="20">
        <v>0</v>
      </c>
      <c r="E17" s="20"/>
      <c r="F17" s="20"/>
      <c r="G17" s="20"/>
      <c r="H17" s="20"/>
      <c r="I17" s="81"/>
      <c r="J17" s="20"/>
      <c r="AB17" s="14"/>
      <c r="AC17" s="15"/>
      <c r="AD17" s="20"/>
      <c r="AE17" s="20"/>
      <c r="AF17" s="20"/>
      <c r="AG17" s="20"/>
      <c r="AH17" s="20"/>
      <c r="AI17" s="20"/>
    </row>
    <row r="18" spans="1:35" ht="16.5" thickBot="1" x14ac:dyDescent="0.3">
      <c r="A18" s="17" t="s">
        <v>59</v>
      </c>
      <c r="B18" s="77" t="s">
        <v>23</v>
      </c>
      <c r="C18" s="15">
        <v>17</v>
      </c>
      <c r="D18" s="20">
        <v>9</v>
      </c>
      <c r="E18" s="20"/>
      <c r="F18" s="20"/>
      <c r="G18" s="20"/>
      <c r="H18" s="20"/>
      <c r="I18" s="81"/>
      <c r="J18" s="20"/>
      <c r="AB18" s="14"/>
      <c r="AC18" s="15"/>
      <c r="AD18" s="20"/>
      <c r="AE18" s="20"/>
      <c r="AF18" s="20"/>
      <c r="AG18" s="20"/>
      <c r="AH18" s="20"/>
      <c r="AI18" s="20"/>
    </row>
    <row r="19" spans="1:35" ht="17.25" thickTop="1" thickBot="1" x14ac:dyDescent="0.3">
      <c r="A19" s="21" t="s">
        <v>13</v>
      </c>
      <c r="B19" s="73"/>
      <c r="C19" s="19"/>
      <c r="AB19" s="18"/>
      <c r="AC19" s="19"/>
    </row>
    <row r="20" spans="1:35" x14ac:dyDescent="0.25">
      <c r="A20" s="22" t="s">
        <v>60</v>
      </c>
      <c r="B20" s="74" t="s">
        <v>23</v>
      </c>
      <c r="C20" s="23">
        <v>16</v>
      </c>
      <c r="D20" s="20"/>
      <c r="E20" s="20"/>
      <c r="F20" s="20"/>
      <c r="G20" s="20"/>
      <c r="H20" s="20"/>
      <c r="I20" s="20"/>
      <c r="J20" s="20"/>
      <c r="AB20" s="14"/>
      <c r="AC20" s="23"/>
    </row>
    <row r="21" spans="1:35" ht="16.5" thickBot="1" x14ac:dyDescent="0.3">
      <c r="A21" s="17" t="s">
        <v>61</v>
      </c>
      <c r="B21" s="75" t="s">
        <v>23</v>
      </c>
      <c r="C21" s="23">
        <v>15</v>
      </c>
      <c r="D21" s="20"/>
      <c r="E21" s="20"/>
      <c r="F21" s="20"/>
      <c r="G21" s="20"/>
      <c r="H21" s="20"/>
      <c r="I21" s="20"/>
      <c r="J21" s="20"/>
      <c r="AB21" s="14"/>
      <c r="AC21" s="23"/>
    </row>
    <row r="22" spans="1:35" ht="16.5" thickBot="1" x14ac:dyDescent="0.3">
      <c r="A22" s="24" t="s">
        <v>14</v>
      </c>
      <c r="B22" s="76"/>
      <c r="C22" s="19"/>
      <c r="AB22" s="18"/>
      <c r="AC22" s="19"/>
    </row>
    <row r="23" spans="1:35" x14ac:dyDescent="0.25">
      <c r="A23" s="22" t="s">
        <v>62</v>
      </c>
      <c r="B23" s="75" t="s">
        <v>23</v>
      </c>
      <c r="C23" s="23">
        <v>0.5</v>
      </c>
      <c r="D23" s="20"/>
      <c r="E23" s="20"/>
      <c r="F23" s="20"/>
      <c r="G23" s="20"/>
      <c r="H23" s="20"/>
      <c r="I23" s="20"/>
      <c r="J23" s="20"/>
      <c r="AB23" s="14"/>
      <c r="AC23" s="23"/>
    </row>
    <row r="24" spans="1:35" ht="16.5" thickBot="1" x14ac:dyDescent="0.3">
      <c r="A24" s="17" t="s">
        <v>63</v>
      </c>
      <c r="B24" s="75" t="s">
        <v>31</v>
      </c>
      <c r="C24" s="23">
        <v>9</v>
      </c>
      <c r="D24" s="20"/>
      <c r="E24" s="20"/>
      <c r="F24" s="20"/>
      <c r="G24" s="20"/>
      <c r="H24" s="20"/>
      <c r="I24" s="20"/>
      <c r="J24" s="20"/>
      <c r="AB24" s="14"/>
      <c r="AC24" s="23"/>
    </row>
    <row r="25" spans="1:35" ht="16.5" thickBot="1" x14ac:dyDescent="0.3">
      <c r="A25" s="24" t="s">
        <v>64</v>
      </c>
      <c r="B25" s="78"/>
      <c r="C25" s="83" t="s">
        <v>67</v>
      </c>
      <c r="D25" s="83" t="s">
        <v>66</v>
      </c>
      <c r="E25" s="83" t="s">
        <v>66</v>
      </c>
      <c r="F25" s="83" t="s">
        <v>66</v>
      </c>
      <c r="G25" s="83" t="s">
        <v>66</v>
      </c>
      <c r="H25" s="83" t="s">
        <v>66</v>
      </c>
      <c r="I25" s="83" t="s">
        <v>66</v>
      </c>
      <c r="J25" s="83" t="s">
        <v>66</v>
      </c>
      <c r="AB25" s="25"/>
      <c r="AC25" s="26"/>
    </row>
    <row r="26" spans="1:35" ht="16.5" thickBot="1" x14ac:dyDescent="0.3">
      <c r="A26" s="85" t="s">
        <v>76</v>
      </c>
      <c r="B26" s="79"/>
      <c r="C26" s="82" t="s">
        <v>78</v>
      </c>
      <c r="D26" s="82" t="s">
        <v>79</v>
      </c>
      <c r="E26" s="82" t="s">
        <v>80</v>
      </c>
      <c r="AB26" s="27"/>
    </row>
    <row r="27" spans="1:35" ht="16.5" thickBot="1" x14ac:dyDescent="0.3">
      <c r="A27" s="86"/>
      <c r="B27" s="80" t="s">
        <v>71</v>
      </c>
      <c r="C27" s="30">
        <f>_xlfn.XLOOKUP(B27,Units!A22:A26,Units!B22:B26,,0,1)</f>
        <v>0.65</v>
      </c>
      <c r="D27" s="30">
        <f>_xlfn.XLOOKUP(B27,Units!A22:A26,Units!C22:C26,,0,1)</f>
        <v>0.22</v>
      </c>
      <c r="E27" s="31">
        <f>_xlfn.XLOOKUP(B27,Units!A22:A26,Units!D22:D26,,0,1)</f>
        <v>365</v>
      </c>
      <c r="G27" s="4" t="s">
        <v>132</v>
      </c>
      <c r="AB27" s="29"/>
    </row>
    <row r="28" spans="1:35" ht="16.5" thickBot="1" x14ac:dyDescent="0.3">
      <c r="A28" s="87" t="s">
        <v>77</v>
      </c>
      <c r="B28" s="79"/>
      <c r="C28" s="28" t="s">
        <v>78</v>
      </c>
      <c r="D28" s="28" t="s">
        <v>82</v>
      </c>
      <c r="E28" s="28" t="s">
        <v>81</v>
      </c>
      <c r="G28" s="4" t="s">
        <v>133</v>
      </c>
      <c r="H28" s="4">
        <v>10</v>
      </c>
      <c r="AB28" s="27"/>
    </row>
    <row r="29" spans="1:35" ht="32.25" thickBot="1" x14ac:dyDescent="0.3">
      <c r="A29" s="88"/>
      <c r="B29" s="80" t="s">
        <v>70</v>
      </c>
      <c r="C29" s="32">
        <f>_xlfn.XLOOKUP(B29,Units!A22:A26,Units!B22:B26,,0,1)</f>
        <v>0.05</v>
      </c>
      <c r="D29" s="32">
        <f>_xlfn.XLOOKUP(B29,Units!A22:A26,Units!C22:C26,,0,1)</f>
        <v>0.14000000000000001</v>
      </c>
      <c r="E29" s="33">
        <f>_xlfn.XLOOKUP(B29,Units!A22:A26,Units!D22:D26,,0,1)</f>
        <v>274</v>
      </c>
      <c r="AB29" s="29"/>
    </row>
    <row r="31" spans="1:35" ht="28.9" customHeight="1" x14ac:dyDescent="0.25">
      <c r="B31" s="34" t="s">
        <v>21</v>
      </c>
      <c r="C31" s="93" t="s">
        <v>22</v>
      </c>
    </row>
    <row r="32" spans="1:35" x14ac:dyDescent="0.25">
      <c r="A32" s="35" t="s">
        <v>6</v>
      </c>
      <c r="B32" s="36" t="s">
        <v>23</v>
      </c>
      <c r="C32" s="94"/>
    </row>
    <row r="33" spans="1:9" x14ac:dyDescent="0.25">
      <c r="A33" s="35" t="s">
        <v>30</v>
      </c>
      <c r="B33" s="36" t="s">
        <v>31</v>
      </c>
      <c r="C33" s="95"/>
    </row>
    <row r="34" spans="1:9" x14ac:dyDescent="0.25">
      <c r="A34" s="37" t="s">
        <v>5</v>
      </c>
      <c r="B34" s="36" t="str">
        <f>B32</f>
        <v>m</v>
      </c>
      <c r="C34" s="19"/>
    </row>
    <row r="35" spans="1:9" x14ac:dyDescent="0.25">
      <c r="A35" s="38" t="s">
        <v>48</v>
      </c>
      <c r="B35" s="39" t="str">
        <f>B34</f>
        <v>m</v>
      </c>
      <c r="C35" s="40">
        <f>C3*_xlfn.XLOOKUP(B3,Units!A2:A20,Units!B2:B20,,0,1)/_xlfn.XLOOKUP(B35,Units!A2:A20,Units!B2:B20,,0,1)</f>
        <v>15</v>
      </c>
    </row>
    <row r="36" spans="1:9" x14ac:dyDescent="0.25">
      <c r="A36" s="38" t="s">
        <v>49</v>
      </c>
      <c r="B36" s="39" t="str">
        <f>B34</f>
        <v>m</v>
      </c>
      <c r="C36" s="40">
        <f>C4*_xlfn.XLOOKUP(B4,Units!A2:A20,Units!B2:B20,,0,1)/_xlfn.XLOOKUP(B36,Units!A2:A20,Units!B2:B20,,0,1)</f>
        <v>62</v>
      </c>
    </row>
    <row r="37" spans="1:9" x14ac:dyDescent="0.25">
      <c r="A37" s="38" t="s">
        <v>50</v>
      </c>
      <c r="B37" s="39" t="str">
        <f>B34</f>
        <v>m</v>
      </c>
      <c r="C37" s="40">
        <f>C5*_xlfn.XLOOKUP(B5,Units!A2:A20,Units!B2:B20,,0,1)/_xlfn.XLOOKUP(B37,Units!A2:A20,Units!B2:B20,,0,1)</f>
        <v>50</v>
      </c>
    </row>
    <row r="38" spans="1:9" x14ac:dyDescent="0.25">
      <c r="A38" s="37" t="s">
        <v>7</v>
      </c>
      <c r="B38" s="41"/>
      <c r="C38" s="19"/>
    </row>
    <row r="39" spans="1:9" x14ac:dyDescent="0.25">
      <c r="A39" s="38" t="s">
        <v>51</v>
      </c>
      <c r="B39" s="39" t="str">
        <f>B33</f>
        <v>m/s</v>
      </c>
      <c r="C39" s="40">
        <f>C7*_xlfn.XLOOKUP(B7,Units!A2:A20,Units!B2:B20,,0,1)/_xlfn.XLOOKUP(B39,Units!A2:A20,Units!B2:B20,,0,1)</f>
        <v>3.5555555555555558</v>
      </c>
    </row>
    <row r="40" spans="1:9" ht="31.5" x14ac:dyDescent="0.25">
      <c r="A40" s="38" t="s">
        <v>52</v>
      </c>
      <c r="B40" s="39" t="str">
        <f>B32</f>
        <v>m</v>
      </c>
      <c r="C40" s="40">
        <f>C8*_xlfn.XLOOKUP(B8,Units!A2:A20,Units!B2:B20,,0,1)/_xlfn.XLOOKUP(B40,Units!A2:A20,Units!B2:B20,,0,1)</f>
        <v>10</v>
      </c>
    </row>
    <row r="41" spans="1:9" x14ac:dyDescent="0.25">
      <c r="A41" s="37" t="s">
        <v>11</v>
      </c>
      <c r="B41" s="36" t="str">
        <f>B32</f>
        <v>m</v>
      </c>
      <c r="C41" s="19"/>
    </row>
    <row r="42" spans="1:9" x14ac:dyDescent="0.25">
      <c r="A42" s="38" t="s">
        <v>56</v>
      </c>
      <c r="B42" s="39" t="str">
        <f>B41</f>
        <v>m</v>
      </c>
      <c r="C42" s="40">
        <f>C10*_xlfn.XLOOKUP(B10,Units!A2:A20,Units!B2:B20,,0,1)/_xlfn.XLOOKUP(B42,Units!A2:A20,Units!B2:B20,,0,1)</f>
        <v>30</v>
      </c>
      <c r="D42" s="40">
        <f>D10*_xlfn.XLOOKUP(B10,Units!A2:A20,Units!B2:B20,,0,1)/_xlfn.XLOOKUP(B42,Units!A2:A20,Units!B2:B20,,0,1)</f>
        <v>0</v>
      </c>
      <c r="E42" s="40">
        <f>E10*_xlfn.XLOOKUP(B10,Units!A2:A20,Units!B2:B20,,0,1)/_xlfn.XLOOKUP(B42,Units!A2:A20,Units!B2:B20,,0,1)</f>
        <v>0</v>
      </c>
      <c r="F42" s="40">
        <f>F10*_xlfn.XLOOKUP(B10,Units!A2:A20,Units!B2:B20,,0,1)/_xlfn.XLOOKUP(B42,Units!A2:A20,Units!B2:B20,,0,1)</f>
        <v>0</v>
      </c>
      <c r="G42" s="40">
        <f>G10*_xlfn.XLOOKUP(B10,Units!A2:A20,Units!B2:B20,,0,1)/_xlfn.XLOOKUP(B42,Units!A2:A20,Units!B2:B20,,0,1)</f>
        <v>0</v>
      </c>
      <c r="H42" s="40">
        <f>H10*_xlfn.XLOOKUP(B10,Units!A2:A20,Units!B2:B20,,0,1)/_xlfn.XLOOKUP(B42,Units!A2:A20,Units!B2:B20,,0,1)</f>
        <v>0</v>
      </c>
      <c r="I42" s="40">
        <f>I10*_xlfn.XLOOKUP(B10,Units!A2:A20,Units!B2:B20,,0,1)/_xlfn.XLOOKUP(B42,Units!A2:A20,Units!B2:B20,,0,1)</f>
        <v>0</v>
      </c>
    </row>
    <row r="43" spans="1:9" x14ac:dyDescent="0.25">
      <c r="A43" s="38" t="s">
        <v>57</v>
      </c>
      <c r="B43" s="39" t="str">
        <f>B41</f>
        <v>m</v>
      </c>
      <c r="C43" s="40">
        <f>C11*_xlfn.XLOOKUP(B11,Units!A2:A20,Units!B2:B20,,0,1)/_xlfn.XLOOKUP(B43,Units!A2:A20,Units!B2:B20,,0,1)</f>
        <v>15</v>
      </c>
      <c r="D43" s="40">
        <f>D11*_xlfn.XLOOKUP(B11,Units!A2:A20,Units!B2:B20,,0,1)/_xlfn.XLOOKUP(B43,Units!A2:A20,Units!B2:B20,,0,1)</f>
        <v>0</v>
      </c>
      <c r="E43" s="40">
        <f>E11*_xlfn.XLOOKUP(B11,Units!A2:A20,Units!B2:B20,,0,1)/_xlfn.XLOOKUP(B43,Units!A2:A20,Units!B2:B20,,0,1)</f>
        <v>0</v>
      </c>
      <c r="F43" s="40">
        <f>F11*_xlfn.XLOOKUP(B11,Units!A2:A20,Units!B2:B20,,0,1)/_xlfn.XLOOKUP(B43,Units!A2:A20,Units!B2:B20,,0,1)</f>
        <v>0</v>
      </c>
      <c r="G43" s="40">
        <f>G11*_xlfn.XLOOKUP(B11,Units!A2:A20,Units!B2:B20,,0,1)/_xlfn.XLOOKUP(B43,Units!A2:A20,Units!B2:B20,,0,1)</f>
        <v>0</v>
      </c>
      <c r="H43" s="40">
        <f>H11*_xlfn.XLOOKUP(B11,Units!A2:A20,Units!B2:B20,,0,1)/_xlfn.XLOOKUP(B43,Units!A2:A20,Units!B2:B20,,0,1)</f>
        <v>0</v>
      </c>
      <c r="I43" s="40">
        <f>I11*_xlfn.XLOOKUP(B11,Units!A2:A20,Units!B2:B20,,0,1)/_xlfn.XLOOKUP(B43,Units!A2:A20,Units!B2:B20,,0,1)</f>
        <v>0</v>
      </c>
    </row>
    <row r="44" spans="1:9" x14ac:dyDescent="0.25">
      <c r="A44" s="37" t="s">
        <v>12</v>
      </c>
      <c r="B44" s="36" t="str">
        <f>B32</f>
        <v>m</v>
      </c>
      <c r="C44" s="19"/>
    </row>
    <row r="45" spans="1:9" x14ac:dyDescent="0.25">
      <c r="A45" s="38" t="s">
        <v>53</v>
      </c>
      <c r="B45" s="39" t="str">
        <f>B44</f>
        <v>m</v>
      </c>
      <c r="C45" s="40">
        <f>C13*_xlfn.XLOOKUP(B13,Units!A2:A20,Units!B2:B20,,0,1)/_xlfn.XLOOKUP(B45,Units!A2:A20,Units!B2:B20,,0,1)</f>
        <v>4</v>
      </c>
      <c r="D45" s="40">
        <f>D13*_xlfn.XLOOKUP(B13,Units!A2:A20,Units!B2:B20,,0,1)/_xlfn.XLOOKUP(B45,Units!A2:A20,Units!B2:B20,,0,1)</f>
        <v>0</v>
      </c>
      <c r="E45" s="40">
        <f>E13*_xlfn.XLOOKUP(B13,Units!A2:A20,Units!B2:B20,,0,1)/_xlfn.XLOOKUP(B45,Units!A2:A20,Units!B2:B20,,0,1)</f>
        <v>0</v>
      </c>
      <c r="F45" s="40">
        <f>F13*_xlfn.XLOOKUP(B13,Units!A2:A20,Units!B2:B20,,0,1)/_xlfn.XLOOKUP(B45,Units!A2:A20,Units!B2:B20,,0,1)</f>
        <v>0</v>
      </c>
      <c r="G45" s="40">
        <f>G13*_xlfn.XLOOKUP(B13,Units!A2:A20,Units!B2:B20,,0,1)/_xlfn.XLOOKUP(B45,Units!A2:A20,Units!B2:B20,,0,1)</f>
        <v>0</v>
      </c>
      <c r="H45" s="40">
        <f>H13*_xlfn.XLOOKUP(B13,Units!A2:A20,Units!B2:B20,,0,1)/_xlfn.XLOOKUP(B45,Units!A2:A20,Units!B2:B20,,0,1)</f>
        <v>0</v>
      </c>
      <c r="I45" s="40">
        <f>I13*_xlfn.XLOOKUP(B13,Units!A2:A20,Units!B2:B20,,0,1)/_xlfn.XLOOKUP(B45,Units!A2:A20,Units!B2:B20,,0,1)</f>
        <v>0</v>
      </c>
    </row>
    <row r="46" spans="1:9" x14ac:dyDescent="0.25">
      <c r="A46" s="38" t="s">
        <v>54</v>
      </c>
      <c r="B46" s="39" t="str">
        <f>B44</f>
        <v>m</v>
      </c>
      <c r="C46" s="40">
        <f>C14*_xlfn.XLOOKUP(B14,Units!A2:A20,Units!B2:B20,,0,1)/_xlfn.XLOOKUP(B46,Units!A2:A20,Units!B2:B20,,0,1)</f>
        <v>7</v>
      </c>
      <c r="D46" s="40">
        <f>D14*_xlfn.XLOOKUP(B14,Units!A2:A20,Units!B2:B20,,0,1)/_xlfn.XLOOKUP(B46,Units!A2:A20,Units!B2:B20,,0,1)</f>
        <v>0</v>
      </c>
      <c r="E46" s="40">
        <f>E14*_xlfn.XLOOKUP(B14,Units!A2:A20,Units!B2:B20,,0,1)/_xlfn.XLOOKUP(B46,Units!A2:A20,Units!B2:B20,,0,1)</f>
        <v>0</v>
      </c>
      <c r="F46" s="40">
        <f>F14*_xlfn.XLOOKUP(B14,Units!A2:A20,Units!B2:B20,,0,1)/_xlfn.XLOOKUP(B46,Units!A2:A20,Units!B2:B20,,0,1)</f>
        <v>0</v>
      </c>
      <c r="G46" s="40">
        <f>G14*_xlfn.XLOOKUP(B14,Units!A2:A20,Units!B2:B20,,0,1)/_xlfn.XLOOKUP(B46,Units!A2:A20,Units!B2:B20,,0,1)</f>
        <v>0</v>
      </c>
      <c r="H46" s="40">
        <f>H14*_xlfn.XLOOKUP(B14,Units!A2:A20,Units!B2:B20,,0,1)/_xlfn.XLOOKUP(B46,Units!A2:A20,Units!B2:B20,,0,1)</f>
        <v>0</v>
      </c>
      <c r="I46" s="40">
        <f>I14*_xlfn.XLOOKUP(B14,Units!A2:A20,Units!B2:B20,,0,1)/_xlfn.XLOOKUP(B46,Units!A2:A20,Units!B2:B20,,0,1)</f>
        <v>0</v>
      </c>
    </row>
    <row r="47" spans="1:9" x14ac:dyDescent="0.25">
      <c r="A47" s="38" t="s">
        <v>55</v>
      </c>
      <c r="B47" s="39" t="str">
        <f>B44</f>
        <v>m</v>
      </c>
      <c r="C47" s="40">
        <f>C15*_xlfn.XLOOKUP(B15,Units!A2:A20,Units!B2:B20,,0,1)/_xlfn.XLOOKUP(B47,Units!A2:A20,Units!B2:B20,,0,1)</f>
        <v>9</v>
      </c>
      <c r="D47" s="40">
        <f>D15*_xlfn.XLOOKUP(B15,Units!A2:A20,Units!B2:B20,,0,1)/_xlfn.XLOOKUP(B47,Units!A2:A20,Units!B2:B20,,0,1)</f>
        <v>0</v>
      </c>
      <c r="E47" s="40">
        <f>E15*_xlfn.XLOOKUP(B15,Units!A2:A20,Units!B2:B20,,0,1)/_xlfn.XLOOKUP(B47,Units!A2:A20,Units!B2:B20,,0,1)</f>
        <v>0</v>
      </c>
      <c r="F47" s="40">
        <f>F15*_xlfn.XLOOKUP(B15,Units!A2:A20,Units!B2:B20,,0,1)/_xlfn.XLOOKUP(B47,Units!A2:A20,Units!B2:B20,,0,1)</f>
        <v>0</v>
      </c>
      <c r="G47" s="40">
        <f>G15*_xlfn.XLOOKUP(B15,Units!A2:A20,Units!B2:B20,,0,1)/_xlfn.XLOOKUP(B47,Units!A2:A20,Units!B2:B20,,0,1)</f>
        <v>0</v>
      </c>
      <c r="H47" s="40">
        <f>H15*_xlfn.XLOOKUP(B15,Units!A2:A20,Units!B2:B20,,0,1)/_xlfn.XLOOKUP(B47,Units!A2:A20,Units!B2:B20,,0,1)</f>
        <v>0</v>
      </c>
      <c r="I47" s="40">
        <f>I15*_xlfn.XLOOKUP(B15,Units!A2:A20,Units!B2:B20,,0,1)/_xlfn.XLOOKUP(B47,Units!A2:A20,Units!B2:B20,,0,1)</f>
        <v>0</v>
      </c>
    </row>
    <row r="48" spans="1:9" x14ac:dyDescent="0.25">
      <c r="A48" s="37" t="s">
        <v>8</v>
      </c>
      <c r="B48" s="36" t="str">
        <f>B32</f>
        <v>m</v>
      </c>
      <c r="C48" s="19"/>
    </row>
    <row r="49" spans="1:10" x14ac:dyDescent="0.25">
      <c r="A49" s="38" t="s">
        <v>58</v>
      </c>
      <c r="B49" s="39" t="str">
        <f>B48</f>
        <v>m</v>
      </c>
      <c r="C49" s="40">
        <f>C17*_xlfn.XLOOKUP(B17,Units!A2:A20,Units!B2:B20,,0,1)/_xlfn.XLOOKUP(B49,Units!A2:A20,Units!B2:B20,,0,1)</f>
        <v>30</v>
      </c>
      <c r="D49" s="40">
        <f>D17*_xlfn.XLOOKUP(B17,Units!A2:A20,Units!B2:B20,,0,1)/_xlfn.XLOOKUP(B32,Units!A2:A20,Units!B2:B20,,0,1)</f>
        <v>0</v>
      </c>
      <c r="E49" s="40">
        <f>E17*_xlfn.XLOOKUP(B17,Units!A2:A20,Units!B2:B20,,0,1)/_xlfn.XLOOKUP(B32,Units!A2:A20,Units!B2:B20,,0,1)</f>
        <v>0</v>
      </c>
      <c r="F49" s="40">
        <f>F17*_xlfn.XLOOKUP(B17,Units!A2:A20,Units!B2:B20,,0,1)/_xlfn.XLOOKUP(B32,Units!A2:A20,Units!B2:B20,,0,1)</f>
        <v>0</v>
      </c>
      <c r="G49" s="40">
        <f>G17*_xlfn.XLOOKUP(B17,Units!A2:A20,Units!B2:B20,,0,1)/_xlfn.XLOOKUP(B32,Units!A2:A20,Units!B2:B20,,0,1)</f>
        <v>0</v>
      </c>
      <c r="H49" s="40">
        <f>H17*_xlfn.XLOOKUP(B17,Units!A2:A20,Units!B2:B20,,0,1)/_xlfn.XLOOKUP(B32,Units!A2:A20,Units!B2:B20,,0,1)</f>
        <v>0</v>
      </c>
      <c r="I49" s="40">
        <f>I17*_xlfn.XLOOKUP(B17,Units!A2:A20,Units!B2:B20,,0,1)/_xlfn.XLOOKUP(B32,Units!A2:A20,Units!B2:B20,,0,1)</f>
        <v>0</v>
      </c>
    </row>
    <row r="50" spans="1:10" x14ac:dyDescent="0.25">
      <c r="A50" s="38" t="s">
        <v>59</v>
      </c>
      <c r="B50" s="39" t="str">
        <f>B48</f>
        <v>m</v>
      </c>
      <c r="C50" s="40">
        <f>C18*_xlfn.XLOOKUP(B18,Units!A2:A20,Units!B2:B20,,0,1)/_xlfn.XLOOKUP(B50,Units!A2:A20,Units!B2:B20,,0,1)</f>
        <v>17</v>
      </c>
      <c r="D50" s="40">
        <f>D18*_xlfn.XLOOKUP(B18,Units!A2:A20,Units!B2:B20,,0,1)/_xlfn.XLOOKUP(B32,Units!A2:A20,Units!B2:B20,,0,1)</f>
        <v>9</v>
      </c>
      <c r="E50" s="40">
        <f>E18*_xlfn.XLOOKUP(B18,Units!A2:A20,Units!B2:B20,,0,1)/_xlfn.XLOOKUP(B32,Units!A2:A20,Units!B2:B20,,0,1)</f>
        <v>0</v>
      </c>
      <c r="F50" s="40">
        <f>F18*_xlfn.XLOOKUP(B18,Units!A2:A20,Units!B2:B20,,0,1)/_xlfn.XLOOKUP(B32,Units!A2:A20,Units!B2:B20,,0,1)</f>
        <v>0</v>
      </c>
      <c r="G50" s="40">
        <f>G18*_xlfn.XLOOKUP(B18,Units!A2:A20,Units!B2:B20,,0,1)/_xlfn.XLOOKUP(B32,Units!A2:A20,Units!B2:B20,,0,1)</f>
        <v>0</v>
      </c>
      <c r="H50" s="40">
        <f>H18*_xlfn.XLOOKUP(B18,Units!A2:A20,Units!B2:B20,,0,1)/_xlfn.XLOOKUP(B32,Units!A2:A20,Units!B2:B20,,0,1)</f>
        <v>0</v>
      </c>
      <c r="I50" s="40">
        <f>I18*_xlfn.XLOOKUP(B18,Units!A2:A20,Units!B2:B20,,0,1)/_xlfn.XLOOKUP(B32,Units!A2:A20,Units!B2:B20,,0,1)</f>
        <v>0</v>
      </c>
    </row>
    <row r="51" spans="1:10" x14ac:dyDescent="0.25">
      <c r="A51" s="37" t="s">
        <v>13</v>
      </c>
      <c r="B51" s="36" t="str">
        <f>B32</f>
        <v>m</v>
      </c>
      <c r="C51" s="19"/>
    </row>
    <row r="52" spans="1:10" x14ac:dyDescent="0.25">
      <c r="A52" s="38" t="s">
        <v>60</v>
      </c>
      <c r="B52" s="39" t="str">
        <f>B51</f>
        <v>m</v>
      </c>
      <c r="C52" s="40">
        <f>$C$20*_xlfn.XLOOKUP(B20,Units!A2:A20,Units!B2:B20,,0,1)/_xlfn.XLOOKUP(B52,Units!A2:A20,Units!B2:B20,,0,1)</f>
        <v>16</v>
      </c>
    </row>
    <row r="53" spans="1:10" x14ac:dyDescent="0.25">
      <c r="A53" s="38" t="s">
        <v>61</v>
      </c>
      <c r="B53" s="39" t="str">
        <f>B51</f>
        <v>m</v>
      </c>
      <c r="C53" s="40">
        <f>$C$21*_xlfn.XLOOKUP(B21,Units!A2:A20,Units!B2:B20,,0,1)/_xlfn.XLOOKUP(B53,Units!A2:A20,Units!B2:B20,,0,1)</f>
        <v>15</v>
      </c>
    </row>
    <row r="54" spans="1:10" x14ac:dyDescent="0.25">
      <c r="A54" s="37" t="s">
        <v>14</v>
      </c>
      <c r="B54" s="39"/>
      <c r="C54" s="19"/>
    </row>
    <row r="55" spans="1:10" ht="14.45" customHeight="1" x14ac:dyDescent="0.25">
      <c r="A55" s="38" t="s">
        <v>62</v>
      </c>
      <c r="B55" s="39" t="str">
        <f>B32</f>
        <v>m</v>
      </c>
      <c r="C55" s="40">
        <f>$C$23*_xlfn.XLOOKUP(B23,Units!A2:A20,Units!B2:B20,,0,1)/_xlfn.XLOOKUP(B55,Units!A2:A20,Units!B2:B20,,0,1)</f>
        <v>0.5</v>
      </c>
    </row>
    <row r="56" spans="1:10" x14ac:dyDescent="0.25">
      <c r="A56" s="38" t="s">
        <v>63</v>
      </c>
      <c r="B56" s="39" t="str">
        <f>B33</f>
        <v>m/s</v>
      </c>
      <c r="C56" s="40">
        <f>$C$24*_xlfn.XLOOKUP(B24,Units!A2:A20,Units!B2:B20,,0,1)/_xlfn.XLOOKUP(B56,Units!A2:A20,Units!B2:B20,,0,1)</f>
        <v>9</v>
      </c>
    </row>
    <row r="57" spans="1:10" x14ac:dyDescent="0.25">
      <c r="A57" s="37" t="s">
        <v>64</v>
      </c>
      <c r="B57" s="41" t="s">
        <v>43</v>
      </c>
      <c r="C57" s="42">
        <f>_xlfn.XLOOKUP(C25,Units!$A$19:$A$20,Units!$B$19:$B$20,,0,1)</f>
        <v>1</v>
      </c>
      <c r="D57" s="42">
        <f>_xlfn.XLOOKUP(D25,Units!$A$19:$A$20,Units!$B$19:$B$20,,0,1)</f>
        <v>0</v>
      </c>
      <c r="E57" s="42">
        <f>_xlfn.XLOOKUP(E25,Units!$A$19:$A$20,Units!$B$19:$B$20,,0,1)</f>
        <v>0</v>
      </c>
      <c r="F57" s="42">
        <f>_xlfn.XLOOKUP(F25,Units!$A$19:$A$20,Units!$B$19:$B$20,,0,1)</f>
        <v>0</v>
      </c>
      <c r="G57" s="42">
        <f>_xlfn.XLOOKUP(G25,Units!$A$19:$A$20,Units!$B$19:$B$20,,0,1)</f>
        <v>0</v>
      </c>
      <c r="H57" s="42">
        <f>_xlfn.XLOOKUP(H25,Units!$A$19:$A$20,Units!$B$19:$B$20,,0,1)</f>
        <v>0</v>
      </c>
      <c r="I57" s="42">
        <f>_xlfn.XLOOKUP(I25,Units!$A$19:$A$20,Units!$B$19:$B$20,,0,1)</f>
        <v>0</v>
      </c>
      <c r="J57" s="42">
        <f>_xlfn.XLOOKUP(J25,Units!$A$19:$A$20,Units!$B$19:$B$20,,0,1)</f>
        <v>0</v>
      </c>
    </row>
    <row r="58" spans="1:10" x14ac:dyDescent="0.25">
      <c r="A58" s="91" t="s">
        <v>76</v>
      </c>
      <c r="B58" s="43" t="str">
        <f>B32</f>
        <v>m</v>
      </c>
      <c r="C58" s="28" t="s">
        <v>83</v>
      </c>
      <c r="D58" s="28" t="s">
        <v>79</v>
      </c>
      <c r="E58" s="28" t="s">
        <v>84</v>
      </c>
    </row>
    <row r="59" spans="1:10" x14ac:dyDescent="0.25">
      <c r="A59" s="92"/>
      <c r="B59" s="44" t="s">
        <v>43</v>
      </c>
      <c r="C59" s="45">
        <f>C27</f>
        <v>0.65</v>
      </c>
      <c r="D59" s="40">
        <f>D27</f>
        <v>0.22</v>
      </c>
      <c r="E59" s="40">
        <f>E27</f>
        <v>365</v>
      </c>
    </row>
    <row r="60" spans="1:10" x14ac:dyDescent="0.25">
      <c r="A60" s="89" t="s">
        <v>77</v>
      </c>
      <c r="B60" s="43" t="str">
        <f>B32</f>
        <v>m</v>
      </c>
      <c r="C60" s="28" t="s">
        <v>83</v>
      </c>
      <c r="D60" s="28" t="s">
        <v>82</v>
      </c>
      <c r="E60" s="28" t="s">
        <v>85</v>
      </c>
    </row>
    <row r="61" spans="1:10" x14ac:dyDescent="0.25">
      <c r="A61" s="90"/>
      <c r="B61" s="44" t="s">
        <v>43</v>
      </c>
      <c r="C61" s="45">
        <f>C29</f>
        <v>0.05</v>
      </c>
      <c r="D61" s="40">
        <f>D29</f>
        <v>0.14000000000000001</v>
      </c>
      <c r="E61" s="40">
        <f>E29</f>
        <v>274</v>
      </c>
    </row>
  </sheetData>
  <mergeCells count="5">
    <mergeCell ref="A26:A27"/>
    <mergeCell ref="A28:A29"/>
    <mergeCell ref="A60:A61"/>
    <mergeCell ref="A58:A59"/>
    <mergeCell ref="C31:C33"/>
  </mergeCells>
  <dataValidations count="1">
    <dataValidation type="list" allowBlank="1" showInputMessage="1" showErrorMessage="1" sqref="AB3:AB5 AB8 AB10:AB11 AB13:AB15 AB17:AB18 AB20:AB21 AB23 B32 B2:B5 B23 B8:B21" xr:uid="{A0D9B97B-7099-4DC1-B104-9FDEDDE80C79}">
      <formula1>Distance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141A833-F8AC-4A69-8B83-F2096F25E3C2}">
          <x14:formula1>
            <xm:f>Units!$A$11:$A$16</xm:f>
          </x14:formula1>
          <xm:sqref>AB7 B24 B7 B33 AB24</xm:sqref>
        </x14:dataValidation>
        <x14:dataValidation type="list" allowBlank="1" showInputMessage="1" showErrorMessage="1" xr:uid="{1CA4F595-4E8C-4AA5-B902-C059BFE5B8C5}">
          <x14:formula1>
            <xm:f>Units!$A$19:$A$20</xm:f>
          </x14:formula1>
          <xm:sqref>AC25 C25:J25</xm:sqref>
        </x14:dataValidation>
        <x14:dataValidation type="list" allowBlank="1" showInputMessage="1" showErrorMessage="1" xr:uid="{BA088042-8958-4559-A54E-AE15B267B658}">
          <x14:formula1>
            <xm:f>Units!$A$23:$A$26</xm:f>
          </x14:formula1>
          <xm:sqref>AB29 AB27 B29 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3B9C-6C21-4172-9DB5-02D11012B535}">
  <sheetPr codeName="Sheet3"/>
  <dimension ref="A1:AQ81"/>
  <sheetViews>
    <sheetView topLeftCell="A9" workbookViewId="0">
      <selection activeCell="G24" sqref="G24"/>
    </sheetView>
  </sheetViews>
  <sheetFormatPr defaultColWidth="8.85546875" defaultRowHeight="15.75" x14ac:dyDescent="0.25"/>
  <cols>
    <col min="1" max="1" width="9.140625" style="4" customWidth="1"/>
    <col min="2" max="2" width="8.85546875" style="4"/>
    <col min="3" max="3" width="11.28515625" style="4" customWidth="1"/>
    <col min="4" max="5" width="12.7109375" style="4" bestFit="1" customWidth="1"/>
    <col min="6" max="12" width="11.5703125" style="4" bestFit="1" customWidth="1"/>
    <col min="13" max="14" width="9" style="4" bestFit="1" customWidth="1"/>
    <col min="15" max="15" width="8.85546875" style="4"/>
    <col min="16" max="16" width="9" style="4" bestFit="1" customWidth="1"/>
    <col min="17" max="17" width="11.28515625" style="4" bestFit="1" customWidth="1"/>
    <col min="18" max="20" width="9" style="4" bestFit="1" customWidth="1"/>
    <col min="21" max="21" width="11.28515625" style="4" bestFit="1" customWidth="1"/>
    <col min="22" max="33" width="9" style="4" bestFit="1" customWidth="1"/>
    <col min="34" max="16384" width="8.85546875" style="4"/>
  </cols>
  <sheetData>
    <row r="1" spans="3:43" x14ac:dyDescent="0.25">
      <c r="O1" s="5"/>
      <c r="AI1"/>
      <c r="AJ1"/>
      <c r="AK1"/>
      <c r="AL1"/>
      <c r="AM1"/>
      <c r="AN1"/>
      <c r="AO1"/>
      <c r="AP1"/>
      <c r="AQ1"/>
    </row>
    <row r="2" spans="3:43" x14ac:dyDescent="0.25">
      <c r="C2" s="6" t="s">
        <v>15</v>
      </c>
      <c r="E2" s="6" t="s">
        <v>16</v>
      </c>
      <c r="F2" s="4" t="s">
        <v>87</v>
      </c>
      <c r="G2" s="6" t="s">
        <v>88</v>
      </c>
      <c r="H2" s="4" t="s">
        <v>89</v>
      </c>
      <c r="I2" s="6" t="s">
        <v>90</v>
      </c>
      <c r="J2" s="4" t="s">
        <v>91</v>
      </c>
      <c r="K2" s="6" t="s">
        <v>92</v>
      </c>
      <c r="L2" s="4" t="s">
        <v>93</v>
      </c>
      <c r="M2" s="6" t="s">
        <v>94</v>
      </c>
      <c r="N2" s="4" t="s">
        <v>95</v>
      </c>
      <c r="O2" s="5"/>
      <c r="P2" s="4" t="s">
        <v>47</v>
      </c>
      <c r="S2" s="4" t="s">
        <v>44</v>
      </c>
      <c r="V2" s="4" t="s">
        <v>86</v>
      </c>
      <c r="AI2"/>
      <c r="AJ2"/>
      <c r="AK2"/>
      <c r="AL2"/>
      <c r="AM2"/>
      <c r="AN2"/>
      <c r="AO2"/>
      <c r="AP2"/>
      <c r="AQ2"/>
    </row>
    <row r="3" spans="3:43" x14ac:dyDescent="0.25">
      <c r="C3" s="6" t="s">
        <v>0</v>
      </c>
      <c r="D3" s="4">
        <f>(MIN(Inputs!$C$35,Inputs!$C$37)^0.67)*(MAX(Inputs!$C$35,Inputs!$C$37)^0.33)</f>
        <v>22.317279112708221</v>
      </c>
      <c r="E3" s="6" t="s">
        <v>0</v>
      </c>
      <c r="F3" s="4">
        <f>(MIN(Inputs!C$45,Inputs!C$47)^0.67)*(MAX(Inputs!C$45,Inputs!C$47)^0.33)</f>
        <v>5.2273336643838064</v>
      </c>
      <c r="G3" s="4">
        <f>(MIN(Inputs!D$45,Inputs!D$47)^0.67)*(MAX(Inputs!D$45,Inputs!D$47)^0.33)</f>
        <v>0</v>
      </c>
      <c r="H3" s="4">
        <f>(MIN(Inputs!E$45,Inputs!E$47)^0.67)*(MAX(Inputs!E$45,Inputs!E$47)^0.33)</f>
        <v>0</v>
      </c>
      <c r="I3" s="4">
        <f>(MIN(Inputs!F$45,Inputs!F$47)^0.67)*(MAX(Inputs!F$45,Inputs!F$47)^0.33)</f>
        <v>0</v>
      </c>
      <c r="J3" s="4">
        <f>(MIN(Inputs!G$45,Inputs!G$47)^0.67)*(MAX(Inputs!G$45,Inputs!G$47)^0.33)</f>
        <v>0</v>
      </c>
      <c r="K3" s="4">
        <f>(MIN(Inputs!H$45,Inputs!H$47)^0.67)*(MAX(Inputs!H$45,Inputs!H$47)^0.33)</f>
        <v>0</v>
      </c>
      <c r="L3" s="4">
        <f>(MIN(Inputs!I$45,Inputs!I$47)^0.67)*(MAX(Inputs!I$45,Inputs!I$47)^0.33)</f>
        <v>0</v>
      </c>
      <c r="M3" s="4">
        <f>(MIN(Inputs!J$45,Inputs!J$47)^0.67)*(MAX(Inputs!J$45,Inputs!J$47)^0.33)</f>
        <v>0</v>
      </c>
      <c r="N3" s="4">
        <f>(MIN(Inputs!K$45,Inputs!K$47)^0.67)*(MAX(Inputs!K$45,Inputs!K$47)^0.33)</f>
        <v>0</v>
      </c>
      <c r="O3" s="5"/>
      <c r="P3" s="7" t="s">
        <v>45</v>
      </c>
      <c r="Q3" s="7" t="s">
        <v>46</v>
      </c>
      <c r="S3" s="7" t="s">
        <v>45</v>
      </c>
      <c r="T3" s="7" t="s">
        <v>46</v>
      </c>
      <c r="V3" s="7" t="s">
        <v>45</v>
      </c>
      <c r="W3" s="7" t="s">
        <v>46</v>
      </c>
      <c r="X3" s="7"/>
      <c r="Y3" s="7"/>
      <c r="AI3"/>
      <c r="AJ3"/>
      <c r="AK3"/>
      <c r="AL3"/>
      <c r="AM3"/>
      <c r="AN3"/>
      <c r="AO3"/>
      <c r="AP3"/>
      <c r="AQ3"/>
    </row>
    <row r="4" spans="3:43" x14ac:dyDescent="0.25">
      <c r="C4" s="6" t="s">
        <v>1</v>
      </c>
      <c r="D4" s="4">
        <f>$D$3*0.22</f>
        <v>4.9098014047958083</v>
      </c>
      <c r="E4" s="6" t="s">
        <v>1</v>
      </c>
      <c r="F4" s="4">
        <f>F$3*0.22</f>
        <v>1.1500134061644374</v>
      </c>
      <c r="G4" s="4">
        <f t="shared" ref="G4:N4" si="0">G$3*0.22</f>
        <v>0</v>
      </c>
      <c r="H4" s="4">
        <f t="shared" si="0"/>
        <v>0</v>
      </c>
      <c r="I4" s="4">
        <f t="shared" si="0"/>
        <v>0</v>
      </c>
      <c r="J4" s="4">
        <f t="shared" si="0"/>
        <v>0</v>
      </c>
      <c r="K4" s="4">
        <f t="shared" si="0"/>
        <v>0</v>
      </c>
      <c r="L4" s="4">
        <f t="shared" si="0"/>
        <v>0</v>
      </c>
      <c r="M4" s="4">
        <f t="shared" si="0"/>
        <v>0</v>
      </c>
      <c r="N4" s="4">
        <f t="shared" si="0"/>
        <v>0</v>
      </c>
      <c r="O4" s="5"/>
      <c r="P4" s="7">
        <f>Inputs!C49</f>
        <v>30</v>
      </c>
      <c r="Q4" s="7">
        <f>Inputs!C50</f>
        <v>17</v>
      </c>
      <c r="S4" s="7">
        <v>0</v>
      </c>
      <c r="T4" s="7">
        <v>0</v>
      </c>
      <c r="V4" s="4">
        <f>Inputs!C$52</f>
        <v>16</v>
      </c>
      <c r="W4" s="4">
        <f>Inputs!C$53</f>
        <v>15</v>
      </c>
      <c r="AI4"/>
      <c r="AJ4"/>
      <c r="AK4"/>
      <c r="AL4"/>
      <c r="AM4"/>
      <c r="AN4"/>
      <c r="AO4"/>
      <c r="AP4"/>
      <c r="AQ4"/>
    </row>
    <row r="5" spans="3:43" x14ac:dyDescent="0.25">
      <c r="C5" s="6" t="s">
        <v>2</v>
      </c>
      <c r="D5" s="4">
        <f>$D$3*0.5</f>
        <v>11.15863955635411</v>
      </c>
      <c r="E5" s="6" t="s">
        <v>2</v>
      </c>
      <c r="F5" s="4">
        <f>F$3*0.5</f>
        <v>2.6136668321919032</v>
      </c>
      <c r="G5" s="4">
        <f t="shared" ref="G5:N5" si="1">G$3*0.5</f>
        <v>0</v>
      </c>
      <c r="H5" s="4">
        <f t="shared" si="1"/>
        <v>0</v>
      </c>
      <c r="I5" s="4">
        <f t="shared" si="1"/>
        <v>0</v>
      </c>
      <c r="J5" s="4">
        <f t="shared" si="1"/>
        <v>0</v>
      </c>
      <c r="K5" s="4">
        <f t="shared" si="1"/>
        <v>0</v>
      </c>
      <c r="L5" s="4">
        <f t="shared" si="1"/>
        <v>0</v>
      </c>
      <c r="M5" s="4">
        <f t="shared" si="1"/>
        <v>0</v>
      </c>
      <c r="N5" s="4">
        <f t="shared" si="1"/>
        <v>0</v>
      </c>
      <c r="O5" s="5"/>
      <c r="P5" s="7">
        <f>Inputs!D49</f>
        <v>0</v>
      </c>
      <c r="Q5" s="7">
        <f>Inputs!D50</f>
        <v>9</v>
      </c>
      <c r="S5" s="7">
        <v>0</v>
      </c>
      <c r="T5" s="7">
        <f>Inputs!C35</f>
        <v>15</v>
      </c>
      <c r="V5" s="4">
        <f>Inputs!C$52</f>
        <v>16</v>
      </c>
      <c r="W5" s="4">
        <f>Inputs!$C$35+BackEndR0!D$20</f>
        <v>28.663455822541643</v>
      </c>
      <c r="AI5"/>
      <c r="AJ5"/>
      <c r="AK5"/>
      <c r="AL5"/>
      <c r="AM5"/>
      <c r="AN5"/>
      <c r="AO5"/>
      <c r="AP5"/>
      <c r="AQ5"/>
    </row>
    <row r="6" spans="3:43" x14ac:dyDescent="0.25">
      <c r="C6" s="6" t="s">
        <v>3</v>
      </c>
      <c r="D6" s="4">
        <f>$D$3*0.9</f>
        <v>20.085551201437401</v>
      </c>
      <c r="E6" s="6" t="s">
        <v>3</v>
      </c>
      <c r="F6" s="4">
        <f>F$3*0.9</f>
        <v>4.7046002979454258</v>
      </c>
      <c r="G6" s="4">
        <f t="shared" ref="G6:N6" si="2">G$3*0.9</f>
        <v>0</v>
      </c>
      <c r="H6" s="4">
        <f t="shared" si="2"/>
        <v>0</v>
      </c>
      <c r="I6" s="4">
        <f t="shared" si="2"/>
        <v>0</v>
      </c>
      <c r="J6" s="4">
        <f t="shared" si="2"/>
        <v>0</v>
      </c>
      <c r="K6" s="4">
        <f t="shared" si="2"/>
        <v>0</v>
      </c>
      <c r="L6" s="4">
        <f t="shared" si="2"/>
        <v>0</v>
      </c>
      <c r="M6" s="4">
        <f t="shared" si="2"/>
        <v>0</v>
      </c>
      <c r="N6" s="4">
        <f t="shared" si="2"/>
        <v>0</v>
      </c>
      <c r="O6" s="5"/>
      <c r="P6" s="7">
        <f>Inputs!E49</f>
        <v>0</v>
      </c>
      <c r="Q6" s="7">
        <f>Inputs!E50</f>
        <v>0</v>
      </c>
      <c r="S6" s="7">
        <f>Inputs!C36</f>
        <v>62</v>
      </c>
      <c r="T6" s="7">
        <f>Inputs!C35</f>
        <v>15</v>
      </c>
      <c r="AI6"/>
      <c r="AJ6"/>
      <c r="AK6"/>
      <c r="AL6"/>
      <c r="AM6"/>
      <c r="AN6"/>
      <c r="AO6"/>
      <c r="AP6"/>
      <c r="AQ6"/>
    </row>
    <row r="7" spans="3:43" x14ac:dyDescent="0.25">
      <c r="C7" s="6" t="s">
        <v>4</v>
      </c>
      <c r="D7" s="4">
        <f>$D$3</f>
        <v>22.317279112708221</v>
      </c>
      <c r="E7" s="6" t="s">
        <v>4</v>
      </c>
      <c r="F7" s="4">
        <f t="shared" ref="F7:N7" si="3">F$3</f>
        <v>5.2273336643838064</v>
      </c>
      <c r="G7" s="4">
        <f t="shared" si="3"/>
        <v>0</v>
      </c>
      <c r="H7" s="4">
        <f t="shared" si="3"/>
        <v>0</v>
      </c>
      <c r="I7" s="4">
        <f t="shared" si="3"/>
        <v>0</v>
      </c>
      <c r="J7" s="4">
        <f t="shared" si="3"/>
        <v>0</v>
      </c>
      <c r="K7" s="4">
        <f t="shared" si="3"/>
        <v>0</v>
      </c>
      <c r="L7" s="4">
        <f t="shared" si="3"/>
        <v>0</v>
      </c>
      <c r="M7" s="4">
        <f t="shared" si="3"/>
        <v>0</v>
      </c>
      <c r="N7" s="4">
        <f t="shared" si="3"/>
        <v>0</v>
      </c>
      <c r="O7" s="5"/>
      <c r="P7" s="7">
        <f>Inputs!F49</f>
        <v>0</v>
      </c>
      <c r="Q7" s="7">
        <f>Inputs!F50</f>
        <v>0</v>
      </c>
      <c r="S7" s="7">
        <f>Inputs!C36</f>
        <v>62</v>
      </c>
      <c r="T7" s="7">
        <v>0</v>
      </c>
      <c r="AI7"/>
      <c r="AJ7"/>
      <c r="AK7"/>
      <c r="AL7"/>
      <c r="AM7"/>
      <c r="AN7"/>
      <c r="AO7"/>
      <c r="AP7"/>
      <c r="AQ7"/>
    </row>
    <row r="8" spans="3:43" x14ac:dyDescent="0.25">
      <c r="O8" s="5"/>
      <c r="P8" s="7">
        <f>Inputs!G49</f>
        <v>0</v>
      </c>
      <c r="Q8" s="7">
        <f>Inputs!G50</f>
        <v>0</v>
      </c>
      <c r="S8" s="7">
        <v>0</v>
      </c>
      <c r="T8" s="7">
        <v>0</v>
      </c>
      <c r="V8" s="4">
        <f>Inputs!C$52</f>
        <v>16</v>
      </c>
      <c r="W8" s="4">
        <f>Inputs!C$53</f>
        <v>15</v>
      </c>
      <c r="AI8"/>
      <c r="AJ8"/>
      <c r="AK8"/>
      <c r="AL8"/>
      <c r="AM8"/>
      <c r="AN8"/>
      <c r="AO8"/>
      <c r="AP8"/>
      <c r="AQ8"/>
    </row>
    <row r="9" spans="3:43" ht="47.25" x14ac:dyDescent="0.25">
      <c r="C9" s="6" t="s">
        <v>17</v>
      </c>
      <c r="D9" s="6" t="s">
        <v>15</v>
      </c>
      <c r="F9" s="4" t="s">
        <v>16</v>
      </c>
      <c r="O9" s="5"/>
      <c r="P9" s="7">
        <f>Inputs!H49</f>
        <v>0</v>
      </c>
      <c r="Q9" s="7">
        <f>Inputs!H50</f>
        <v>0</v>
      </c>
      <c r="V9" s="4">
        <f>Inputs!$C$52</f>
        <v>16</v>
      </c>
      <c r="W9" s="4">
        <f>Inputs!$C$35+BackEndR0!D$32</f>
        <v>28.791573589810163</v>
      </c>
      <c r="AI9"/>
      <c r="AJ9"/>
      <c r="AK9"/>
      <c r="AL9"/>
      <c r="AM9"/>
      <c r="AN9"/>
      <c r="AO9"/>
      <c r="AP9"/>
      <c r="AQ9"/>
    </row>
    <row r="10" spans="3:43" x14ac:dyDescent="0.25">
      <c r="C10" s="6" t="s">
        <v>9</v>
      </c>
      <c r="D10" s="4">
        <f>$D$5</f>
        <v>11.15863955635411</v>
      </c>
      <c r="F10" s="4">
        <f>Inputs!C$42+F$5</f>
        <v>32.613666832191903</v>
      </c>
      <c r="G10" s="4">
        <f>Inputs!D$42+G$5</f>
        <v>0</v>
      </c>
      <c r="H10" s="4">
        <f>Inputs!E$42+H$5</f>
        <v>0</v>
      </c>
      <c r="I10" s="4">
        <f>Inputs!F$42+I$5</f>
        <v>0</v>
      </c>
      <c r="J10" s="4">
        <f>Inputs!G$42+J$5</f>
        <v>0</v>
      </c>
      <c r="K10" s="4">
        <f>Inputs!H$42+K$5</f>
        <v>0</v>
      </c>
      <c r="L10" s="4">
        <f>Inputs!I$42+L$5</f>
        <v>0</v>
      </c>
      <c r="M10" s="4">
        <f>Inputs!J$42+M$5</f>
        <v>0</v>
      </c>
      <c r="N10" s="4">
        <f>Inputs!K$42+N$5</f>
        <v>0</v>
      </c>
      <c r="O10" s="5"/>
      <c r="P10" s="7">
        <f>Inputs!I49</f>
        <v>0</v>
      </c>
      <c r="Q10" s="7">
        <f>Inputs!I50</f>
        <v>0</v>
      </c>
      <c r="V10" s="4">
        <f>Inputs!$C$36+(BackEndR0!$D$7*2)</f>
        <v>106.63455822541644</v>
      </c>
      <c r="W10" s="4">
        <f>(V10/-5)+W5</f>
        <v>7.3365441774583537</v>
      </c>
      <c r="AI10"/>
      <c r="AJ10"/>
      <c r="AK10"/>
      <c r="AL10"/>
      <c r="AM10"/>
      <c r="AN10"/>
      <c r="AO10"/>
      <c r="AP10"/>
      <c r="AQ10"/>
    </row>
    <row r="11" spans="3:43" x14ac:dyDescent="0.25">
      <c r="C11" s="6" t="s">
        <v>10</v>
      </c>
      <c r="D11" s="4">
        <f>Inputs!$C$35+$D$4</f>
        <v>19.909801404795807</v>
      </c>
      <c r="F11" s="4">
        <f>Inputs!C$42+Inputs!C$45+F$4</f>
        <v>35.15001340616444</v>
      </c>
      <c r="G11" s="4">
        <f>Inputs!D$42+Inputs!D$45+G$4</f>
        <v>0</v>
      </c>
      <c r="H11" s="4">
        <f>Inputs!E$42+Inputs!E$45+H$4</f>
        <v>0</v>
      </c>
      <c r="I11" s="4">
        <f>Inputs!F$42+Inputs!F$45+I$4</f>
        <v>0</v>
      </c>
      <c r="J11" s="4">
        <f>Inputs!G$42+Inputs!G$45+J$4</f>
        <v>0</v>
      </c>
      <c r="K11" s="4">
        <f>Inputs!H$42+Inputs!H$45+K$4</f>
        <v>0</v>
      </c>
      <c r="L11" s="4">
        <f>Inputs!I$42+Inputs!I$45+L$4</f>
        <v>0</v>
      </c>
      <c r="M11" s="4">
        <f>Inputs!J$42+Inputs!J$45+M$4</f>
        <v>0</v>
      </c>
      <c r="N11" s="4">
        <f>Inputs!K$42+Inputs!K$45+N$4</f>
        <v>0</v>
      </c>
      <c r="O11" s="5"/>
      <c r="AI11"/>
      <c r="AJ11"/>
      <c r="AK11"/>
      <c r="AL11"/>
      <c r="AM11"/>
      <c r="AN11"/>
      <c r="AO11"/>
      <c r="AP11"/>
      <c r="AQ11"/>
    </row>
    <row r="12" spans="3:43" x14ac:dyDescent="0.25">
      <c r="C12" s="6"/>
      <c r="O12" s="5"/>
      <c r="AI12"/>
      <c r="AJ12"/>
      <c r="AK12"/>
      <c r="AL12"/>
      <c r="AM12"/>
      <c r="AN12"/>
      <c r="AO12"/>
      <c r="AP12"/>
      <c r="AQ12"/>
    </row>
    <row r="13" spans="3:43" ht="47.25" x14ac:dyDescent="0.25">
      <c r="C13" s="6" t="s">
        <v>18</v>
      </c>
      <c r="D13" s="6" t="s">
        <v>15</v>
      </c>
      <c r="F13" s="4" t="s">
        <v>16</v>
      </c>
      <c r="O13" s="5"/>
      <c r="P13" s="4" t="s">
        <v>16</v>
      </c>
      <c r="AI13"/>
      <c r="AJ13"/>
      <c r="AK13"/>
      <c r="AL13"/>
      <c r="AM13"/>
      <c r="AN13"/>
      <c r="AO13"/>
      <c r="AP13"/>
      <c r="AQ13"/>
    </row>
    <row r="14" spans="3:43" x14ac:dyDescent="0.25">
      <c r="C14" s="6" t="s">
        <v>9</v>
      </c>
      <c r="D14" s="4">
        <f>Inputs!$C$36+$D$7</f>
        <v>84.317279112708221</v>
      </c>
      <c r="F14" s="4">
        <f>Inputs!C$42+Inputs!C$46+F$7</f>
        <v>42.227333664383806</v>
      </c>
      <c r="G14" s="4">
        <f>Inputs!D$42+Inputs!D$46+G$7</f>
        <v>0</v>
      </c>
      <c r="H14" s="4">
        <f>Inputs!E$42+Inputs!E$46+H$7</f>
        <v>0</v>
      </c>
      <c r="I14" s="4">
        <f>Inputs!F$42+Inputs!F$46+I$7</f>
        <v>0</v>
      </c>
      <c r="J14" s="4">
        <f>Inputs!G$42+Inputs!G$46+J$7</f>
        <v>0</v>
      </c>
      <c r="K14" s="4">
        <f>Inputs!H$42+Inputs!H$46+K$7</f>
        <v>0</v>
      </c>
      <c r="L14" s="4">
        <f>Inputs!I$42+Inputs!I$46+L$7</f>
        <v>0</v>
      </c>
      <c r="M14" s="4">
        <f>Inputs!J$42+Inputs!J$46+M$7</f>
        <v>0</v>
      </c>
      <c r="N14" s="4">
        <f>Inputs!K$42+Inputs!K$46+N$7</f>
        <v>0</v>
      </c>
      <c r="O14" s="5"/>
      <c r="P14" s="4" t="s">
        <v>87</v>
      </c>
      <c r="R14" s="4" t="s">
        <v>88</v>
      </c>
      <c r="T14" s="4" t="s">
        <v>89</v>
      </c>
      <c r="V14" s="4" t="s">
        <v>90</v>
      </c>
      <c r="X14" s="4" t="s">
        <v>91</v>
      </c>
      <c r="Z14" s="4" t="s">
        <v>92</v>
      </c>
      <c r="AB14" s="4" t="s">
        <v>93</v>
      </c>
      <c r="AD14" s="4" t="s">
        <v>94</v>
      </c>
      <c r="AF14" s="4" t="s">
        <v>95</v>
      </c>
      <c r="AI14"/>
      <c r="AJ14"/>
      <c r="AK14"/>
      <c r="AL14"/>
      <c r="AM14"/>
      <c r="AN14"/>
      <c r="AO14"/>
      <c r="AP14"/>
      <c r="AQ14"/>
    </row>
    <row r="15" spans="3:43" x14ac:dyDescent="0.25">
      <c r="C15" s="6" t="s">
        <v>10</v>
      </c>
      <c r="D15" s="4">
        <f>Inputs!$C$35</f>
        <v>15</v>
      </c>
      <c r="F15" s="4">
        <f>Inputs!C$43+Inputs!C$45</f>
        <v>19</v>
      </c>
      <c r="G15" s="4">
        <f>Inputs!D$43+Inputs!D$45</f>
        <v>0</v>
      </c>
      <c r="H15" s="4">
        <f>Inputs!E$43+Inputs!E$45</f>
        <v>0</v>
      </c>
      <c r="I15" s="4">
        <f>Inputs!F$43+Inputs!F$45</f>
        <v>0</v>
      </c>
      <c r="J15" s="4">
        <f>Inputs!G$43+Inputs!G$45</f>
        <v>0</v>
      </c>
      <c r="K15" s="4">
        <f>Inputs!H$43+Inputs!H$45</f>
        <v>0</v>
      </c>
      <c r="L15" s="4">
        <f>Inputs!I$43+Inputs!I$45</f>
        <v>0</v>
      </c>
      <c r="M15" s="4">
        <f>Inputs!J$43+Inputs!J$45</f>
        <v>0</v>
      </c>
      <c r="N15" s="4">
        <f>Inputs!K$43+Inputs!K$45</f>
        <v>0</v>
      </c>
      <c r="O15" s="5"/>
      <c r="P15" s="7" t="s">
        <v>45</v>
      </c>
      <c r="Q15" s="7" t="s">
        <v>46</v>
      </c>
      <c r="R15" s="7" t="s">
        <v>45</v>
      </c>
      <c r="S15" s="7" t="s">
        <v>46</v>
      </c>
      <c r="T15" s="7" t="s">
        <v>45</v>
      </c>
      <c r="U15" s="7" t="s">
        <v>46</v>
      </c>
      <c r="V15" s="7" t="s">
        <v>45</v>
      </c>
      <c r="W15" s="7" t="s">
        <v>46</v>
      </c>
      <c r="X15" s="7" t="s">
        <v>45</v>
      </c>
      <c r="Y15" s="7" t="s">
        <v>46</v>
      </c>
      <c r="Z15" s="7" t="s">
        <v>45</v>
      </c>
      <c r="AA15" s="7" t="s">
        <v>46</v>
      </c>
      <c r="AB15" s="7" t="s">
        <v>45</v>
      </c>
      <c r="AC15" s="7" t="s">
        <v>46</v>
      </c>
      <c r="AD15" s="7" t="s">
        <v>45</v>
      </c>
      <c r="AE15" s="7" t="s">
        <v>46</v>
      </c>
      <c r="AF15" s="7" t="s">
        <v>45</v>
      </c>
      <c r="AG15" s="7" t="s">
        <v>46</v>
      </c>
      <c r="AI15"/>
      <c r="AJ15"/>
      <c r="AK15"/>
      <c r="AL15"/>
      <c r="AM15"/>
      <c r="AN15"/>
      <c r="AO15"/>
      <c r="AP15"/>
      <c r="AQ15"/>
    </row>
    <row r="16" spans="3:43" x14ac:dyDescent="0.25">
      <c r="O16" s="5"/>
      <c r="P16" s="4">
        <f>Inputs!C$42</f>
        <v>30</v>
      </c>
      <c r="Q16" s="4">
        <f>Inputs!C$43</f>
        <v>15</v>
      </c>
      <c r="R16" s="4">
        <f>Inputs!D$42</f>
        <v>0</v>
      </c>
      <c r="S16" s="4">
        <f>Inputs!D$43</f>
        <v>0</v>
      </c>
      <c r="T16" s="4">
        <f>Inputs!E$42</f>
        <v>0</v>
      </c>
      <c r="U16" s="4">
        <f>Inputs!E$43</f>
        <v>0</v>
      </c>
      <c r="V16" s="4">
        <f>Inputs!F$42</f>
        <v>0</v>
      </c>
      <c r="W16" s="4">
        <f>Inputs!F$43</f>
        <v>0</v>
      </c>
      <c r="X16" s="4">
        <f>Inputs!G$42</f>
        <v>0</v>
      </c>
      <c r="Y16" s="4">
        <f>Inputs!G$43</f>
        <v>0</v>
      </c>
      <c r="Z16" s="4">
        <f>Inputs!H$42</f>
        <v>0</v>
      </c>
      <c r="AA16" s="4">
        <f>Inputs!H$43</f>
        <v>0</v>
      </c>
      <c r="AB16" s="4">
        <f>Inputs!I$42</f>
        <v>0</v>
      </c>
      <c r="AC16" s="4">
        <f>Inputs!I$43</f>
        <v>0</v>
      </c>
      <c r="AD16" s="4">
        <f>Inputs!J$42</f>
        <v>0</v>
      </c>
      <c r="AE16" s="4">
        <f>Inputs!J$43</f>
        <v>0</v>
      </c>
      <c r="AF16" s="4">
        <f>Inputs!K$42</f>
        <v>0</v>
      </c>
      <c r="AG16" s="4">
        <f>Inputs!K$43</f>
        <v>0</v>
      </c>
      <c r="AI16"/>
      <c r="AJ16"/>
      <c r="AK16"/>
      <c r="AL16"/>
      <c r="AM16"/>
      <c r="AN16"/>
      <c r="AO16"/>
      <c r="AP16"/>
      <c r="AQ16"/>
    </row>
    <row r="17" spans="3:43" ht="31.5" x14ac:dyDescent="0.25">
      <c r="C17" s="6" t="s">
        <v>118</v>
      </c>
      <c r="F17" s="7"/>
      <c r="G17" s="7"/>
      <c r="M17" s="7"/>
      <c r="O17" s="5"/>
      <c r="P17" s="4">
        <f>Inputs!C$42</f>
        <v>30</v>
      </c>
      <c r="Q17" s="4">
        <f>Inputs!C$43+Inputs!C$45</f>
        <v>19</v>
      </c>
      <c r="R17" s="4">
        <f>Inputs!D$42</f>
        <v>0</v>
      </c>
      <c r="S17" s="4">
        <f>Inputs!D$43+Inputs!D$45</f>
        <v>0</v>
      </c>
      <c r="T17" s="4">
        <f>Inputs!E$42</f>
        <v>0</v>
      </c>
      <c r="U17" s="4">
        <f>Inputs!E$43+Inputs!E$45</f>
        <v>0</v>
      </c>
      <c r="V17" s="4">
        <f>Inputs!F$42</f>
        <v>0</v>
      </c>
      <c r="W17" s="4">
        <f>Inputs!F$43+Inputs!F$45</f>
        <v>0</v>
      </c>
      <c r="X17" s="4">
        <f>Inputs!G$42</f>
        <v>0</v>
      </c>
      <c r="Y17" s="4">
        <f>Inputs!G$43+Inputs!G$45</f>
        <v>0</v>
      </c>
      <c r="Z17" s="4">
        <f>Inputs!H$42</f>
        <v>0</v>
      </c>
      <c r="AA17" s="4">
        <f>Inputs!H$43+Inputs!H$45</f>
        <v>0</v>
      </c>
      <c r="AB17" s="4">
        <f>Inputs!I$42</f>
        <v>0</v>
      </c>
      <c r="AC17" s="4">
        <f>Inputs!I$43+Inputs!I$45</f>
        <v>0</v>
      </c>
      <c r="AD17" s="4">
        <f>Inputs!J$42</f>
        <v>0</v>
      </c>
      <c r="AE17" s="4">
        <f>Inputs!J$43+Inputs!J$45</f>
        <v>0</v>
      </c>
      <c r="AF17" s="4">
        <f>Inputs!K$42</f>
        <v>0</v>
      </c>
      <c r="AG17" s="4">
        <f>Inputs!K$43+Inputs!K$45</f>
        <v>0</v>
      </c>
      <c r="AI17"/>
      <c r="AJ17"/>
      <c r="AK17"/>
      <c r="AL17"/>
      <c r="AM17"/>
      <c r="AN17"/>
      <c r="AO17"/>
      <c r="AP17"/>
      <c r="AQ17"/>
    </row>
    <row r="18" spans="3:43" x14ac:dyDescent="0.25">
      <c r="C18" s="6" t="s">
        <v>119</v>
      </c>
      <c r="D18" s="4">
        <f>(($D$5-Inputs!$C$52)*1/5)+($D$4)</f>
        <v>3.9415293160666303</v>
      </c>
      <c r="E18" s="4">
        <f>((Inputs!C$42+F$5-Inputs!$C$52)*1/5)+(Inputs!C$45+F$4)</f>
        <v>8.4727467726028181</v>
      </c>
      <c r="F18" s="4">
        <f>((Inputs!D$42+G$5-Inputs!$C$52)*1/5)+(Inputs!D$45+G$4)</f>
        <v>-3.2</v>
      </c>
      <c r="G18" s="4">
        <f>((Inputs!E$42+H$5-Inputs!$C$52)*1/5)+(Inputs!E$45+H$4)</f>
        <v>-3.2</v>
      </c>
      <c r="H18" s="4">
        <f>((Inputs!F$42+I$5-Inputs!$C$52)*1/5)+(Inputs!F$45+I$4)</f>
        <v>-3.2</v>
      </c>
      <c r="I18" s="4">
        <f>((Inputs!G$42+J$5-Inputs!$C$52)*1/5)+(Inputs!G$45+J$4)</f>
        <v>-3.2</v>
      </c>
      <c r="J18" s="4">
        <f>((Inputs!H$42+K$5-Inputs!$C$52)*1/5)+(Inputs!H$45+K$4)</f>
        <v>-3.2</v>
      </c>
      <c r="K18" s="4">
        <f>((Inputs!I$42+L$5-Inputs!$C$52)*1/5)+(Inputs!I$45+L$4)</f>
        <v>-3.2</v>
      </c>
      <c r="L18" s="4">
        <f>((Inputs!J$42+M$5-Inputs!$C$52)*1/5)+(Inputs!J$45+M$4)</f>
        <v>-3.2</v>
      </c>
      <c r="M18" s="4">
        <f>((Inputs!K$42+N$5-Inputs!$C$52)*1/5)+(Inputs!K$45+N$4)</f>
        <v>-3.2</v>
      </c>
      <c r="O18" s="5"/>
      <c r="P18" s="4">
        <f>Inputs!C$42+Inputs!C$46</f>
        <v>37</v>
      </c>
      <c r="Q18" s="4">
        <f>Inputs!C$43+Inputs!C$45</f>
        <v>19</v>
      </c>
      <c r="R18" s="4">
        <f>Inputs!D$42+Inputs!D$46</f>
        <v>0</v>
      </c>
      <c r="S18" s="4">
        <f>Inputs!D$43+Inputs!D$45</f>
        <v>0</v>
      </c>
      <c r="T18" s="4">
        <f>Inputs!E$42+Inputs!E$46</f>
        <v>0</v>
      </c>
      <c r="U18" s="4">
        <f>Inputs!E$43+Inputs!E$45</f>
        <v>0</v>
      </c>
      <c r="V18" s="4">
        <f>Inputs!F$42+Inputs!F$46</f>
        <v>0</v>
      </c>
      <c r="W18" s="4">
        <f>Inputs!F$43+Inputs!F$45</f>
        <v>0</v>
      </c>
      <c r="X18" s="4">
        <f>Inputs!G$42+Inputs!G$46</f>
        <v>0</v>
      </c>
      <c r="Y18" s="4">
        <f>Inputs!G$43+Inputs!G$45</f>
        <v>0</v>
      </c>
      <c r="Z18" s="4">
        <f>Inputs!H$42+Inputs!H$46</f>
        <v>0</v>
      </c>
      <c r="AA18" s="4">
        <f>Inputs!H$43+Inputs!H$45</f>
        <v>0</v>
      </c>
      <c r="AB18" s="4">
        <f>Inputs!I$42+Inputs!I$46</f>
        <v>0</v>
      </c>
      <c r="AC18" s="4">
        <f>Inputs!I$43+Inputs!I$45</f>
        <v>0</v>
      </c>
      <c r="AD18" s="4">
        <f>Inputs!J$42+Inputs!J$46</f>
        <v>0</v>
      </c>
      <c r="AE18" s="4">
        <f>Inputs!J$43+Inputs!J$45</f>
        <v>0</v>
      </c>
      <c r="AF18" s="4">
        <f>Inputs!K$42+Inputs!K$46</f>
        <v>0</v>
      </c>
      <c r="AG18" s="4">
        <f>Inputs!K$43+Inputs!K$45</f>
        <v>0</v>
      </c>
      <c r="AI18"/>
      <c r="AJ18"/>
      <c r="AK18"/>
      <c r="AL18"/>
      <c r="AM18"/>
      <c r="AN18"/>
      <c r="AO18"/>
      <c r="AP18"/>
      <c r="AQ18"/>
    </row>
    <row r="19" spans="3:43" x14ac:dyDescent="0.25">
      <c r="C19" s="6" t="s">
        <v>120</v>
      </c>
      <c r="D19" s="4">
        <f>1/5*($D$7+Inputs!$C$36-Inputs!$C$52)</f>
        <v>13.663455822541644</v>
      </c>
      <c r="E19" s="4">
        <f>1/5*(F$7+Inputs!C$46+Inputs!C$42-Inputs!$C$52)</f>
        <v>5.2454667328767615</v>
      </c>
      <c r="F19" s="4">
        <f>1/5*(G$7+Inputs!D$46+Inputs!D$42-Inputs!$C$52)</f>
        <v>-3.2</v>
      </c>
      <c r="G19" s="4">
        <f>1/5*(H$7+Inputs!E$46+Inputs!E$42-Inputs!$C$52)</f>
        <v>-3.2</v>
      </c>
      <c r="H19" s="4">
        <f>1/5*(I$7+Inputs!F$46+Inputs!F$42-Inputs!$C$52)</f>
        <v>-3.2</v>
      </c>
      <c r="I19" s="4">
        <f>1/5*(J$7+Inputs!G$46+Inputs!G$42-Inputs!$C$52)</f>
        <v>-3.2</v>
      </c>
      <c r="J19" s="4">
        <f>1/5*(K$7+Inputs!H$46+Inputs!H$42-Inputs!$C$52)</f>
        <v>-3.2</v>
      </c>
      <c r="K19" s="4">
        <f>1/5*(L$7+Inputs!I$46+Inputs!I$42-Inputs!$C$52)</f>
        <v>-3.2</v>
      </c>
      <c r="L19" s="4">
        <f>1/5*(M$7+Inputs!J$46+Inputs!J$42-Inputs!$C$52)</f>
        <v>-3.2</v>
      </c>
      <c r="M19" s="4">
        <f>1/5*(N$7+Inputs!K$46+Inputs!K$42-Inputs!$C$52)</f>
        <v>-3.2</v>
      </c>
      <c r="O19" s="5"/>
      <c r="P19" s="4">
        <f>Inputs!C$42+Inputs!C$46</f>
        <v>37</v>
      </c>
      <c r="Q19" s="4">
        <f>Inputs!C$43</f>
        <v>15</v>
      </c>
      <c r="R19" s="4">
        <f>Inputs!D$42+Inputs!D$46</f>
        <v>0</v>
      </c>
      <c r="S19" s="4">
        <f>Inputs!D$43</f>
        <v>0</v>
      </c>
      <c r="T19" s="4">
        <f>Inputs!E$42+Inputs!E$46</f>
        <v>0</v>
      </c>
      <c r="U19" s="4">
        <f>Inputs!E$43</f>
        <v>0</v>
      </c>
      <c r="V19" s="4">
        <f>Inputs!F$42+Inputs!F$46</f>
        <v>0</v>
      </c>
      <c r="W19" s="4">
        <f>Inputs!F$43</f>
        <v>0</v>
      </c>
      <c r="X19" s="4">
        <f>Inputs!G$42+Inputs!G$46</f>
        <v>0</v>
      </c>
      <c r="Y19" s="4">
        <f>Inputs!G$43</f>
        <v>0</v>
      </c>
      <c r="Z19" s="4">
        <f>Inputs!H$42+Inputs!H$46</f>
        <v>0</v>
      </c>
      <c r="AA19" s="4">
        <f>Inputs!H$43</f>
        <v>0</v>
      </c>
      <c r="AB19" s="4">
        <f>Inputs!I$42+Inputs!I$46</f>
        <v>0</v>
      </c>
      <c r="AC19" s="4">
        <f>Inputs!I$43</f>
        <v>0</v>
      </c>
      <c r="AD19" s="4">
        <f>Inputs!J$42+Inputs!J$46</f>
        <v>0</v>
      </c>
      <c r="AE19" s="4">
        <f>Inputs!J$43</f>
        <v>0</v>
      </c>
      <c r="AF19" s="4">
        <f>Inputs!K$42+Inputs!K$46</f>
        <v>0</v>
      </c>
      <c r="AG19" s="4">
        <f>Inputs!K$43</f>
        <v>0</v>
      </c>
      <c r="AI19"/>
      <c r="AJ19"/>
      <c r="AK19"/>
      <c r="AL19"/>
      <c r="AM19"/>
      <c r="AN19"/>
      <c r="AO19"/>
      <c r="AP19"/>
      <c r="AQ19"/>
    </row>
    <row r="20" spans="3:43" ht="47.25" x14ac:dyDescent="0.25">
      <c r="C20" s="6" t="s">
        <v>130</v>
      </c>
      <c r="D20" s="4" cm="1">
        <f t="array" ref="D20">MAX(IF(ISNUMBER(D18:M19),D18:M19,))</f>
        <v>13.663455822541644</v>
      </c>
      <c r="O20" s="5"/>
      <c r="P20" s="4">
        <f>Inputs!C$42</f>
        <v>30</v>
      </c>
      <c r="Q20" s="4">
        <f>Inputs!C$43</f>
        <v>15</v>
      </c>
      <c r="R20" s="4">
        <f>Inputs!D$42</f>
        <v>0</v>
      </c>
      <c r="S20" s="4">
        <f>Inputs!D$43</f>
        <v>0</v>
      </c>
      <c r="T20" s="4">
        <f>Inputs!E$42</f>
        <v>0</v>
      </c>
      <c r="U20" s="4">
        <f>Inputs!E$43</f>
        <v>0</v>
      </c>
      <c r="V20" s="4">
        <f>Inputs!F$42</f>
        <v>0</v>
      </c>
      <c r="W20" s="4">
        <f>Inputs!F$43</f>
        <v>0</v>
      </c>
      <c r="X20" s="4">
        <f>Inputs!G$42</f>
        <v>0</v>
      </c>
      <c r="Y20" s="4">
        <f>Inputs!G$43</f>
        <v>0</v>
      </c>
      <c r="Z20" s="4">
        <f>Inputs!H$42</f>
        <v>0</v>
      </c>
      <c r="AA20" s="4">
        <f>Inputs!H$43</f>
        <v>0</v>
      </c>
      <c r="AB20" s="4">
        <f>Inputs!I$42</f>
        <v>0</v>
      </c>
      <c r="AC20" s="4">
        <f>Inputs!I$43</f>
        <v>0</v>
      </c>
      <c r="AD20" s="4">
        <f>Inputs!J$42</f>
        <v>0</v>
      </c>
      <c r="AE20" s="4">
        <f>Inputs!J$43</f>
        <v>0</v>
      </c>
      <c r="AF20" s="4">
        <f>Inputs!K$42</f>
        <v>0</v>
      </c>
      <c r="AG20" s="4">
        <f>Inputs!K$43</f>
        <v>0</v>
      </c>
      <c r="AI20"/>
      <c r="AJ20"/>
      <c r="AK20"/>
      <c r="AL20"/>
      <c r="AM20"/>
      <c r="AN20"/>
      <c r="AO20"/>
      <c r="AP20"/>
      <c r="AQ20"/>
    </row>
    <row r="21" spans="3:43" x14ac:dyDescent="0.25">
      <c r="O21" s="5"/>
      <c r="AI21"/>
      <c r="AJ21"/>
      <c r="AK21"/>
      <c r="AL21"/>
      <c r="AM21"/>
      <c r="AN21"/>
      <c r="AO21"/>
      <c r="AP21"/>
      <c r="AQ21"/>
    </row>
    <row r="22" spans="3:43" x14ac:dyDescent="0.25">
      <c r="C22" s="6" t="s">
        <v>122</v>
      </c>
      <c r="O22" s="5"/>
      <c r="AI22"/>
      <c r="AJ22"/>
      <c r="AK22"/>
      <c r="AL22"/>
      <c r="AM22"/>
      <c r="AN22"/>
      <c r="AO22"/>
      <c r="AP22"/>
      <c r="AQ22"/>
    </row>
    <row r="23" spans="3:43" x14ac:dyDescent="0.25">
      <c r="C23" s="6" t="s">
        <v>40</v>
      </c>
      <c r="D23" s="4">
        <f>Inputs!C39*2.5</f>
        <v>8.8888888888888893</v>
      </c>
      <c r="F23" s="6" t="s">
        <v>121</v>
      </c>
      <c r="G23" s="4">
        <f>2.5*LN(Inputs!$C$35/Inputs!$C$59)</f>
        <v>7.8470827929866607</v>
      </c>
      <c r="O23" s="5"/>
      <c r="AI23"/>
      <c r="AJ23"/>
      <c r="AK23"/>
      <c r="AL23"/>
      <c r="AM23"/>
      <c r="AN23"/>
      <c r="AO23"/>
      <c r="AP23"/>
      <c r="AQ23"/>
    </row>
    <row r="24" spans="3:43" x14ac:dyDescent="0.25">
      <c r="C24" s="6" t="s">
        <v>39</v>
      </c>
      <c r="D24" s="4">
        <f>D23*((Inputs!E61/Inputs!C40)^Inputs!D61)*((Inputs!C35/Inputs!E59)^Inputs!D59)</f>
        <v>7.0011309876397592</v>
      </c>
      <c r="F24" s="6" t="s">
        <v>123</v>
      </c>
      <c r="G24" s="4">
        <f>(1/3)+($D$24/Inputs!$C$56)</f>
        <v>1.1112367764044178</v>
      </c>
      <c r="O24" s="5"/>
      <c r="AI24"/>
      <c r="AJ24"/>
      <c r="AK24"/>
      <c r="AL24"/>
      <c r="AM24"/>
      <c r="AN24"/>
      <c r="AO24"/>
      <c r="AP24"/>
      <c r="AQ24"/>
    </row>
    <row r="25" spans="3:43" x14ac:dyDescent="0.25">
      <c r="C25" s="6" t="s">
        <v>41</v>
      </c>
      <c r="D25" s="4">
        <f>Inputs!$C$56/D24</f>
        <v>1.2855065868484923</v>
      </c>
      <c r="F25" s="6" t="s">
        <v>124</v>
      </c>
      <c r="G25" s="4">
        <f>(Inputs!C$56^2)*(Inputs!C$55^2)/4</f>
        <v>5.0625</v>
      </c>
      <c r="O25" s="5"/>
      <c r="AI25"/>
      <c r="AJ25"/>
      <c r="AK25"/>
      <c r="AL25"/>
      <c r="AM25"/>
      <c r="AN25"/>
      <c r="AO25"/>
      <c r="AP25"/>
      <c r="AQ25"/>
    </row>
    <row r="26" spans="3:43" x14ac:dyDescent="0.25">
      <c r="C26" s="6" t="s">
        <v>42</v>
      </c>
      <c r="D26" s="4">
        <f>IF(D25&gt;3,0,Inputs!$C$55*(3-(Inputs!$C$57*D25)))</f>
        <v>0.85724670657575386</v>
      </c>
      <c r="F26" s="6" t="s">
        <v>126</v>
      </c>
      <c r="G26" s="84">
        <f>(0.9*(G$25*$G$23)^0.5)/(D24*G24)</f>
        <v>0.72912893930723599</v>
      </c>
      <c r="O26" s="5"/>
      <c r="AI26"/>
      <c r="AJ26"/>
      <c r="AK26"/>
      <c r="AL26"/>
      <c r="AM26"/>
      <c r="AN26"/>
      <c r="AO26"/>
      <c r="AP26"/>
      <c r="AQ26"/>
    </row>
    <row r="27" spans="3:43" x14ac:dyDescent="0.25">
      <c r="G27" s="6"/>
      <c r="O27" s="5"/>
      <c r="AI27"/>
      <c r="AJ27"/>
      <c r="AK27"/>
      <c r="AL27"/>
      <c r="AM27"/>
      <c r="AN27"/>
      <c r="AO27"/>
      <c r="AP27"/>
      <c r="AQ27"/>
    </row>
    <row r="28" spans="3:43" x14ac:dyDescent="0.25">
      <c r="C28" s="6" t="s">
        <v>128</v>
      </c>
      <c r="D28" s="6">
        <f>((Inputs!$C$52-Inputs!C$49)^2+(Inputs!$C$53-Inputs!C$50)^2)^0.5</f>
        <v>14.142135623730951</v>
      </c>
      <c r="E28" s="6">
        <f>((Inputs!$C$52-Inputs!D$49)^2+(Inputs!$C$53-Inputs!D$50)^2)^0.5</f>
        <v>17.088007490635061</v>
      </c>
      <c r="F28" s="6">
        <f>((Inputs!$C$52-Inputs!E$49)^2+(Inputs!$C$53-Inputs!E$50)^2)^0.5</f>
        <v>21.931712199461309</v>
      </c>
      <c r="G28" s="6">
        <f>((Inputs!$C$52-Inputs!F$49)^2+(Inputs!$C$53-Inputs!F$50)^2)^0.5</f>
        <v>21.931712199461309</v>
      </c>
      <c r="H28" s="6">
        <f>((Inputs!$C$52-Inputs!G$49)^2+(Inputs!$C$53-Inputs!G$50)^2)^0.5</f>
        <v>21.931712199461309</v>
      </c>
      <c r="I28" s="6">
        <f>((Inputs!$C$52-Inputs!H$49)^2+(Inputs!$C$53-Inputs!H$50)^2)^0.5</f>
        <v>21.931712199461309</v>
      </c>
      <c r="J28" s="6">
        <f>((Inputs!$C$52-Inputs!I$49)^2+(Inputs!$C$53-Inputs!I$50)^2)^0.5</f>
        <v>21.931712199461309</v>
      </c>
      <c r="K28" s="6">
        <f>((Inputs!$C$52-Inputs!J$49)^2+(Inputs!$C$53-Inputs!J$50)^2)^0.5</f>
        <v>21.931712199461309</v>
      </c>
      <c r="L28" s="6">
        <f>((Inputs!$C$52-Inputs!K$49)^2+(Inputs!$C$53-Inputs!K$50)^2)^0.5</f>
        <v>21.931712199461309</v>
      </c>
      <c r="O28" s="5"/>
      <c r="AI28"/>
      <c r="AJ28"/>
      <c r="AK28"/>
      <c r="AL28"/>
      <c r="AM28"/>
      <c r="AN28"/>
      <c r="AO28"/>
      <c r="AP28"/>
      <c r="AQ28"/>
    </row>
    <row r="29" spans="3:43" x14ac:dyDescent="0.25">
      <c r="C29" s="4" t="s">
        <v>125</v>
      </c>
      <c r="D29" s="4">
        <f t="shared" ref="D29:L29" si="4">((3*$G$25*D$28)/($G$24^2*$D$24^2))^(1/3)</f>
        <v>1.5252834459662061</v>
      </c>
      <c r="E29" s="4">
        <f t="shared" si="4"/>
        <v>1.6245859743164479</v>
      </c>
      <c r="F29" s="4">
        <f t="shared" si="4"/>
        <v>1.7655081917078235</v>
      </c>
      <c r="G29" s="4">
        <f t="shared" si="4"/>
        <v>1.7655081917078235</v>
      </c>
      <c r="H29" s="4">
        <f t="shared" si="4"/>
        <v>1.7655081917078235</v>
      </c>
      <c r="I29" s="4">
        <f t="shared" si="4"/>
        <v>1.7655081917078235</v>
      </c>
      <c r="J29" s="4">
        <f t="shared" si="4"/>
        <v>1.7655081917078235</v>
      </c>
      <c r="K29" s="4">
        <f t="shared" si="4"/>
        <v>1.7655081917078235</v>
      </c>
      <c r="L29" s="4">
        <f t="shared" si="4"/>
        <v>1.7655081917078235</v>
      </c>
      <c r="O29" s="5"/>
      <c r="U29" s="7" t="s">
        <v>117</v>
      </c>
      <c r="AB29" s="7" t="s">
        <v>117</v>
      </c>
      <c r="AI29"/>
      <c r="AJ29"/>
      <c r="AK29"/>
      <c r="AL29"/>
      <c r="AM29"/>
      <c r="AN29"/>
      <c r="AO29"/>
      <c r="AP29"/>
      <c r="AQ29"/>
    </row>
    <row r="30" spans="3:43" x14ac:dyDescent="0.25">
      <c r="C30" s="6" t="s">
        <v>127</v>
      </c>
      <c r="D30" s="4">
        <f>MIN(Inputs!$C$57*D$29,Inputs!$C$57*$G$26)</f>
        <v>0.72912893930723599</v>
      </c>
      <c r="E30" s="4">
        <f>MIN(Inputs!$C$57*E$29,Inputs!$C$57*$G$26)</f>
        <v>0.72912893930723599</v>
      </c>
      <c r="F30" s="4">
        <f>MIN(Inputs!$C$57*F$29,Inputs!$C$57*$G$26)</f>
        <v>0.72912893930723599</v>
      </c>
      <c r="G30" s="4">
        <f>MIN(Inputs!$C$57*G$29,Inputs!$C$57*$G$26)</f>
        <v>0.72912893930723599</v>
      </c>
      <c r="H30" s="4">
        <f>MIN(Inputs!$C$57*H$29,Inputs!$C$57*$G$26)</f>
        <v>0.72912893930723599</v>
      </c>
      <c r="I30" s="4">
        <f>MIN(Inputs!$C$57*I$29,Inputs!$C$57*$G$26)</f>
        <v>0.72912893930723599</v>
      </c>
      <c r="J30" s="4">
        <f>MIN(Inputs!$C$57*J$29,Inputs!$C$57*$G$26)</f>
        <v>0.72912893930723599</v>
      </c>
      <c r="K30" s="4">
        <f>MIN(Inputs!$C$57*K$29,Inputs!$C$57*$G$26)</f>
        <v>0.72912893930723599</v>
      </c>
      <c r="L30" s="4">
        <f>MIN(Inputs!$C$57*L$29,Inputs!$C$57*$G$26)</f>
        <v>0.72912893930723599</v>
      </c>
      <c r="O30" s="5"/>
      <c r="R30" s="4" t="s">
        <v>96</v>
      </c>
      <c r="S30" s="4" t="s">
        <v>45</v>
      </c>
      <c r="T30" s="4" t="s">
        <v>46</v>
      </c>
      <c r="U30" s="4" t="s">
        <v>45</v>
      </c>
      <c r="V30" s="4" t="s">
        <v>46</v>
      </c>
      <c r="W30" s="4" t="s">
        <v>45</v>
      </c>
      <c r="X30" s="4" t="s">
        <v>46</v>
      </c>
      <c r="Z30" s="4" t="s">
        <v>45</v>
      </c>
      <c r="AA30" s="4" t="s">
        <v>46</v>
      </c>
      <c r="AB30" s="4" t="s">
        <v>45</v>
      </c>
      <c r="AC30" s="4" t="s">
        <v>46</v>
      </c>
      <c r="AD30" s="4" t="s">
        <v>45</v>
      </c>
      <c r="AE30" s="4" t="s">
        <v>46</v>
      </c>
      <c r="AI30"/>
      <c r="AJ30"/>
      <c r="AK30"/>
      <c r="AL30"/>
      <c r="AM30"/>
      <c r="AN30"/>
      <c r="AO30"/>
      <c r="AP30"/>
      <c r="AQ30"/>
    </row>
    <row r="31" spans="3:43" x14ac:dyDescent="0.25">
      <c r="C31" s="4" t="s">
        <v>129</v>
      </c>
      <c r="D31" s="4">
        <f t="shared" ref="D31:L31" si="5">$D$20-D$30+$D$26</f>
        <v>13.791573589810163</v>
      </c>
      <c r="E31" s="4">
        <f t="shared" si="5"/>
        <v>13.791573589810163</v>
      </c>
      <c r="F31" s="4">
        <f t="shared" si="5"/>
        <v>13.791573589810163</v>
      </c>
      <c r="G31" s="4">
        <f t="shared" si="5"/>
        <v>13.791573589810163</v>
      </c>
      <c r="H31" s="4">
        <f t="shared" si="5"/>
        <v>13.791573589810163</v>
      </c>
      <c r="I31" s="4">
        <f t="shared" si="5"/>
        <v>13.791573589810163</v>
      </c>
      <c r="J31" s="4">
        <f t="shared" si="5"/>
        <v>13.791573589810163</v>
      </c>
      <c r="K31" s="4">
        <f t="shared" si="5"/>
        <v>13.791573589810163</v>
      </c>
      <c r="L31" s="4">
        <f t="shared" si="5"/>
        <v>13.791573589810163</v>
      </c>
      <c r="O31" s="5"/>
      <c r="R31" s="4" t="s">
        <v>116</v>
      </c>
      <c r="S31" s="4">
        <v>0</v>
      </c>
      <c r="T31" s="4">
        <f>Inputs!$C$35</f>
        <v>15</v>
      </c>
      <c r="U31" s="4">
        <f>BackEndR0!$D$5</f>
        <v>11.15863955635411</v>
      </c>
      <c r="V31" s="4">
        <f>BackEndR0!$D$4+Inputs!$C$35</f>
        <v>19.909801404795807</v>
      </c>
      <c r="W31" s="4">
        <f>BackEndR0!$D$6</f>
        <v>20.085551201437401</v>
      </c>
      <c r="X31" s="4">
        <f>Inputs!$C$35</f>
        <v>15</v>
      </c>
      <c r="Y31" s="4" t="s">
        <v>115</v>
      </c>
      <c r="Z31" s="4">
        <f>Inputs!$C$36</f>
        <v>62</v>
      </c>
      <c r="AA31" s="4">
        <f>Inputs!$C$35</f>
        <v>15</v>
      </c>
      <c r="AB31" s="4">
        <f>Inputs!$C$36+BackEndR0!$D$7</f>
        <v>84.317279112708221</v>
      </c>
      <c r="AC31" s="4">
        <f>Inputs!$C$35</f>
        <v>15</v>
      </c>
      <c r="AD31" s="4">
        <f>Inputs!$C$36+BackEndR0!$D$7</f>
        <v>84.317279112708221</v>
      </c>
      <c r="AE31" s="4">
        <v>0</v>
      </c>
      <c r="AI31"/>
      <c r="AJ31"/>
      <c r="AK31"/>
      <c r="AL31"/>
      <c r="AM31"/>
      <c r="AN31"/>
      <c r="AO31"/>
      <c r="AP31"/>
      <c r="AQ31"/>
    </row>
    <row r="32" spans="3:43" ht="31.5" x14ac:dyDescent="0.25">
      <c r="C32" s="6" t="s">
        <v>131</v>
      </c>
      <c r="D32" s="4">
        <f>MAX(D31:L31)</f>
        <v>13.791573589810163</v>
      </c>
      <c r="O32" s="5"/>
      <c r="R32" s="4" t="s">
        <v>97</v>
      </c>
      <c r="S32" s="4">
        <f>Inputs!C$42</f>
        <v>30</v>
      </c>
      <c r="T32" s="4">
        <f>Inputs!C$43+Inputs!C$45</f>
        <v>19</v>
      </c>
      <c r="U32" s="4">
        <f>Inputs!C$42+BackEndR0!F$5</f>
        <v>32.613666832191903</v>
      </c>
      <c r="V32" s="4">
        <f>Inputs!C$43+Inputs!C$45+BackEndR0!F$4</f>
        <v>20.150013406164437</v>
      </c>
      <c r="W32" s="4">
        <f>Inputs!C$42+BackEndR0!F$6</f>
        <v>34.704600297945426</v>
      </c>
      <c r="X32" s="4">
        <f>Inputs!C$43+Inputs!C$45</f>
        <v>19</v>
      </c>
      <c r="Y32" s="4" t="s">
        <v>106</v>
      </c>
      <c r="Z32" s="4">
        <f>Inputs!C$42+Inputs!C$46</f>
        <v>37</v>
      </c>
      <c r="AA32" s="4">
        <f>Inputs!C$43+Inputs!C$45</f>
        <v>19</v>
      </c>
      <c r="AB32" s="4">
        <f>Inputs!C$42+Inputs!C$46+BackEndR0!F$7</f>
        <v>42.227333664383806</v>
      </c>
      <c r="AC32" s="4">
        <f>Inputs!C$43+Inputs!C$45</f>
        <v>19</v>
      </c>
      <c r="AD32" s="4">
        <f>Inputs!C$42+Inputs!C$46+BackEndR0!F$7</f>
        <v>42.227333664383806</v>
      </c>
      <c r="AE32" s="4">
        <f>Inputs!C$43</f>
        <v>15</v>
      </c>
      <c r="AI32"/>
      <c r="AJ32"/>
      <c r="AK32"/>
      <c r="AL32"/>
      <c r="AM32"/>
      <c r="AN32"/>
      <c r="AO32"/>
      <c r="AP32"/>
      <c r="AQ32"/>
    </row>
    <row r="33" spans="15:43" x14ac:dyDescent="0.25">
      <c r="O33" s="5"/>
      <c r="R33" s="4" t="s">
        <v>98</v>
      </c>
      <c r="S33" s="4">
        <f>Inputs!D$42</f>
        <v>0</v>
      </c>
      <c r="T33" s="4">
        <f>Inputs!D$43+Inputs!D$45</f>
        <v>0</v>
      </c>
      <c r="U33" s="4">
        <f>Inputs!D$42+BackEndR0!G$5</f>
        <v>0</v>
      </c>
      <c r="V33" s="4">
        <f>Inputs!D$43+Inputs!D$45+BackEndR0!G$4</f>
        <v>0</v>
      </c>
      <c r="W33" s="4">
        <f>Inputs!D$42+BackEndR0!G$6</f>
        <v>0</v>
      </c>
      <c r="X33" s="4">
        <f>Inputs!D$43+Inputs!D$45</f>
        <v>0</v>
      </c>
      <c r="Y33" s="4" t="s">
        <v>107</v>
      </c>
      <c r="Z33" s="4">
        <f>Inputs!D$42+Inputs!D$46</f>
        <v>0</v>
      </c>
      <c r="AA33" s="4">
        <f>Inputs!D$43+Inputs!D$45</f>
        <v>0</v>
      </c>
      <c r="AB33" s="4">
        <f>Inputs!D$42+Inputs!D$46+BackEndR0!G$7</f>
        <v>0</v>
      </c>
      <c r="AC33" s="4">
        <f>Inputs!D$43+Inputs!D$45</f>
        <v>0</v>
      </c>
      <c r="AD33" s="4">
        <f>Inputs!D$42+Inputs!D$46+BackEndR0!G$7</f>
        <v>0</v>
      </c>
      <c r="AE33" s="4">
        <f>Inputs!D$43</f>
        <v>0</v>
      </c>
      <c r="AI33"/>
      <c r="AJ33"/>
      <c r="AK33"/>
      <c r="AL33"/>
      <c r="AM33"/>
      <c r="AN33"/>
      <c r="AO33"/>
      <c r="AP33"/>
      <c r="AQ33"/>
    </row>
    <row r="34" spans="15:43" x14ac:dyDescent="0.25">
      <c r="O34" s="5"/>
      <c r="R34" s="4" t="s">
        <v>99</v>
      </c>
      <c r="S34" s="4">
        <f>Inputs!E$42</f>
        <v>0</v>
      </c>
      <c r="T34" s="4">
        <f>Inputs!E$43+Inputs!E$45</f>
        <v>0</v>
      </c>
      <c r="U34" s="4">
        <f>Inputs!E$42+BackEndR0!H$5</f>
        <v>0</v>
      </c>
      <c r="V34" s="4">
        <f>Inputs!E$43+Inputs!E$45+BackEndR0!H$4</f>
        <v>0</v>
      </c>
      <c r="W34" s="4">
        <f>Inputs!E$42+BackEndR0!H$6</f>
        <v>0</v>
      </c>
      <c r="X34" s="4">
        <f>Inputs!E$43+Inputs!E$45</f>
        <v>0</v>
      </c>
      <c r="Y34" s="4" t="s">
        <v>108</v>
      </c>
      <c r="Z34" s="4">
        <f>Inputs!E$42+Inputs!E$46</f>
        <v>0</v>
      </c>
      <c r="AA34" s="4">
        <f>Inputs!E$43+Inputs!E$45</f>
        <v>0</v>
      </c>
      <c r="AB34" s="4">
        <f>Inputs!E$42+Inputs!E$46+BackEndR0!H$7</f>
        <v>0</v>
      </c>
      <c r="AC34" s="4">
        <f>Inputs!E$43+Inputs!E$45</f>
        <v>0</v>
      </c>
      <c r="AD34" s="4">
        <f>Inputs!E$42+Inputs!E$46+BackEndR0!H$7</f>
        <v>0</v>
      </c>
      <c r="AE34" s="4">
        <f>Inputs!E$43</f>
        <v>0</v>
      </c>
      <c r="AI34"/>
      <c r="AJ34"/>
      <c r="AK34"/>
      <c r="AL34"/>
      <c r="AM34"/>
      <c r="AN34"/>
      <c r="AO34"/>
      <c r="AP34"/>
      <c r="AQ34"/>
    </row>
    <row r="35" spans="15:43" x14ac:dyDescent="0.25">
      <c r="O35" s="5"/>
      <c r="R35" s="4" t="s">
        <v>100</v>
      </c>
      <c r="S35" s="4">
        <f>Inputs!F$42</f>
        <v>0</v>
      </c>
      <c r="T35" s="4">
        <f>Inputs!F$43+Inputs!F$45</f>
        <v>0</v>
      </c>
      <c r="U35" s="4">
        <f>Inputs!F$42+BackEndR0!I$5</f>
        <v>0</v>
      </c>
      <c r="V35" s="4">
        <f>Inputs!F$43+Inputs!F$45+BackEndR0!I$4</f>
        <v>0</v>
      </c>
      <c r="W35" s="4">
        <f>Inputs!F$42+BackEndR0!I$6</f>
        <v>0</v>
      </c>
      <c r="X35" s="4">
        <f>Inputs!F$43+Inputs!F$45</f>
        <v>0</v>
      </c>
      <c r="Y35" s="4" t="s">
        <v>109</v>
      </c>
      <c r="Z35" s="4">
        <f>Inputs!F$42+Inputs!F$46</f>
        <v>0</v>
      </c>
      <c r="AA35" s="4">
        <f>Inputs!F$43+Inputs!F$45</f>
        <v>0</v>
      </c>
      <c r="AB35" s="4">
        <f>Inputs!F$42+Inputs!F$46+BackEndR0!I$7</f>
        <v>0</v>
      </c>
      <c r="AC35" s="4">
        <f>Inputs!F$43+Inputs!F$45</f>
        <v>0</v>
      </c>
      <c r="AD35" s="4">
        <f>Inputs!F$42+Inputs!F$46+BackEndR0!I$7</f>
        <v>0</v>
      </c>
      <c r="AE35" s="4">
        <f>Inputs!F$43</f>
        <v>0</v>
      </c>
      <c r="AI35"/>
      <c r="AJ35"/>
      <c r="AK35"/>
      <c r="AL35"/>
      <c r="AM35"/>
      <c r="AN35"/>
      <c r="AO35"/>
      <c r="AP35"/>
      <c r="AQ35"/>
    </row>
    <row r="36" spans="15:43" x14ac:dyDescent="0.25">
      <c r="O36" s="5"/>
      <c r="R36" s="4" t="s">
        <v>101</v>
      </c>
      <c r="S36" s="4">
        <f>Inputs!G$42</f>
        <v>0</v>
      </c>
      <c r="T36" s="4">
        <f>Inputs!G$43+Inputs!G$45</f>
        <v>0</v>
      </c>
      <c r="U36" s="4">
        <f>Inputs!G$42+BackEndR0!J$5</f>
        <v>0</v>
      </c>
      <c r="V36" s="4">
        <f>Inputs!G$43+Inputs!G$45+BackEndR0!J$4</f>
        <v>0</v>
      </c>
      <c r="W36" s="4">
        <f>Inputs!G$42+BackEndR0!J$6</f>
        <v>0</v>
      </c>
      <c r="X36" s="4">
        <f>Inputs!G$43+Inputs!G$45</f>
        <v>0</v>
      </c>
      <c r="Y36" s="4" t="s">
        <v>110</v>
      </c>
      <c r="Z36" s="4">
        <f>Inputs!G$42+Inputs!G$46</f>
        <v>0</v>
      </c>
      <c r="AA36" s="4">
        <f>Inputs!G$43+Inputs!G$45</f>
        <v>0</v>
      </c>
      <c r="AB36" s="4">
        <f>Inputs!G$42+Inputs!G$46+BackEndR0!J$7</f>
        <v>0</v>
      </c>
      <c r="AC36" s="4">
        <f>Inputs!G$43+Inputs!G$45</f>
        <v>0</v>
      </c>
      <c r="AD36" s="4">
        <f>Inputs!G$42+Inputs!G$46+BackEndR0!J$7</f>
        <v>0</v>
      </c>
      <c r="AE36" s="4">
        <f>Inputs!G$43</f>
        <v>0</v>
      </c>
      <c r="AI36"/>
      <c r="AJ36"/>
      <c r="AK36"/>
      <c r="AL36"/>
      <c r="AM36"/>
      <c r="AN36"/>
      <c r="AO36"/>
      <c r="AP36"/>
      <c r="AQ36"/>
    </row>
    <row r="37" spans="15:43" x14ac:dyDescent="0.25">
      <c r="O37" s="5"/>
      <c r="R37" s="4" t="s">
        <v>102</v>
      </c>
      <c r="S37" s="4">
        <f>Inputs!H$42</f>
        <v>0</v>
      </c>
      <c r="T37" s="4">
        <f>Inputs!H$43+Inputs!H$45</f>
        <v>0</v>
      </c>
      <c r="U37" s="4">
        <f>Inputs!H$42+BackEndR0!K$5</f>
        <v>0</v>
      </c>
      <c r="V37" s="4">
        <f>Inputs!H$43+Inputs!H$45+BackEndR0!K$4</f>
        <v>0</v>
      </c>
      <c r="W37" s="4">
        <f>Inputs!H$42+BackEndR0!K$6</f>
        <v>0</v>
      </c>
      <c r="X37" s="4">
        <f>Inputs!H$43+Inputs!H$45</f>
        <v>0</v>
      </c>
      <c r="Y37" s="4" t="s">
        <v>111</v>
      </c>
      <c r="Z37" s="4">
        <f>Inputs!H$42+Inputs!H$46</f>
        <v>0</v>
      </c>
      <c r="AA37" s="4">
        <f>Inputs!H$43+Inputs!H$45</f>
        <v>0</v>
      </c>
      <c r="AB37" s="4">
        <f>Inputs!H$42+Inputs!H$46+BackEndR0!K$7</f>
        <v>0</v>
      </c>
      <c r="AC37" s="4">
        <f>Inputs!H$43+Inputs!H$45</f>
        <v>0</v>
      </c>
      <c r="AD37" s="4">
        <f>Inputs!H$42+Inputs!H$46+BackEndR0!K$7</f>
        <v>0</v>
      </c>
      <c r="AE37" s="4">
        <f>Inputs!H$43</f>
        <v>0</v>
      </c>
      <c r="AI37"/>
      <c r="AJ37"/>
      <c r="AK37"/>
      <c r="AL37"/>
      <c r="AM37"/>
      <c r="AN37"/>
      <c r="AO37"/>
      <c r="AP37"/>
      <c r="AQ37"/>
    </row>
    <row r="38" spans="15:43" x14ac:dyDescent="0.25">
      <c r="O38" s="5"/>
      <c r="R38" s="4" t="s">
        <v>103</v>
      </c>
      <c r="S38" s="4">
        <f>Inputs!I$42</f>
        <v>0</v>
      </c>
      <c r="T38" s="4">
        <f>Inputs!I$43+Inputs!I$45</f>
        <v>0</v>
      </c>
      <c r="U38" s="4">
        <f>Inputs!I$42+BackEndR0!L$5</f>
        <v>0</v>
      </c>
      <c r="V38" s="4">
        <f>Inputs!I$43+Inputs!I$45+BackEndR0!L$4</f>
        <v>0</v>
      </c>
      <c r="W38" s="4">
        <f>Inputs!I$42+BackEndR0!L$6</f>
        <v>0</v>
      </c>
      <c r="X38" s="4">
        <f>Inputs!I$43+Inputs!I$45</f>
        <v>0</v>
      </c>
      <c r="Y38" s="4" t="s">
        <v>112</v>
      </c>
      <c r="Z38" s="4">
        <f>Inputs!I$42+Inputs!I$46</f>
        <v>0</v>
      </c>
      <c r="AA38" s="4">
        <f>Inputs!I$43+Inputs!I$45</f>
        <v>0</v>
      </c>
      <c r="AB38" s="4">
        <f>Inputs!I$42+Inputs!I$46+BackEndR0!L$7</f>
        <v>0</v>
      </c>
      <c r="AC38" s="4">
        <f>Inputs!I$43+Inputs!I$45</f>
        <v>0</v>
      </c>
      <c r="AD38" s="4">
        <f>Inputs!I$42+Inputs!I$46+BackEndR0!L$7</f>
        <v>0</v>
      </c>
      <c r="AE38" s="4">
        <f>Inputs!I$43</f>
        <v>0</v>
      </c>
      <c r="AI38"/>
      <c r="AJ38"/>
      <c r="AK38"/>
      <c r="AL38"/>
      <c r="AM38"/>
      <c r="AN38"/>
      <c r="AO38"/>
      <c r="AP38"/>
      <c r="AQ38"/>
    </row>
    <row r="39" spans="15:43" x14ac:dyDescent="0.25">
      <c r="O39" s="5"/>
      <c r="R39" s="4" t="s">
        <v>104</v>
      </c>
      <c r="S39" s="4">
        <f>Inputs!J$42</f>
        <v>0</v>
      </c>
      <c r="T39" s="4">
        <f>Inputs!J$43+Inputs!J$45</f>
        <v>0</v>
      </c>
      <c r="U39" s="4">
        <f>Inputs!J$42+BackEndR0!M$5</f>
        <v>0</v>
      </c>
      <c r="V39" s="4">
        <f>Inputs!J$43+Inputs!J$45+BackEndR0!M$4</f>
        <v>0</v>
      </c>
      <c r="W39" s="4">
        <f>Inputs!J$42+BackEndR0!M$6</f>
        <v>0</v>
      </c>
      <c r="X39" s="4">
        <f>Inputs!J$43+Inputs!J$45</f>
        <v>0</v>
      </c>
      <c r="Y39" s="4" t="s">
        <v>113</v>
      </c>
      <c r="Z39" s="4">
        <f>Inputs!J$42+Inputs!J$46</f>
        <v>0</v>
      </c>
      <c r="AA39" s="4">
        <f>Inputs!J$43+Inputs!J$45</f>
        <v>0</v>
      </c>
      <c r="AB39" s="4">
        <f>Inputs!J$42+Inputs!J$46+BackEndR0!M$7</f>
        <v>0</v>
      </c>
      <c r="AC39" s="4">
        <f>Inputs!J$43+Inputs!J$45</f>
        <v>0</v>
      </c>
      <c r="AD39" s="4">
        <f>Inputs!J$42+Inputs!J$46+BackEndR0!M$7</f>
        <v>0</v>
      </c>
      <c r="AE39" s="4">
        <f>Inputs!J$43</f>
        <v>0</v>
      </c>
      <c r="AI39"/>
      <c r="AJ39"/>
      <c r="AK39"/>
      <c r="AL39"/>
      <c r="AM39"/>
      <c r="AN39"/>
      <c r="AO39"/>
      <c r="AP39"/>
      <c r="AQ39"/>
    </row>
    <row r="40" spans="15:43" x14ac:dyDescent="0.25">
      <c r="O40" s="5"/>
      <c r="R40" s="4" t="s">
        <v>105</v>
      </c>
      <c r="S40" s="4">
        <f>Inputs!K$42</f>
        <v>0</v>
      </c>
      <c r="T40" s="4">
        <f>Inputs!K$43+Inputs!K$45</f>
        <v>0</v>
      </c>
      <c r="U40" s="4">
        <f>Inputs!K$42+BackEndR0!N$5</f>
        <v>0</v>
      </c>
      <c r="V40" s="4">
        <f>Inputs!K$43+Inputs!K$45+BackEndR0!N$4</f>
        <v>0</v>
      </c>
      <c r="W40" s="4">
        <f>Inputs!K$42+BackEndR0!N$6</f>
        <v>0</v>
      </c>
      <c r="X40" s="4">
        <f>Inputs!K$43+Inputs!K$45</f>
        <v>0</v>
      </c>
      <c r="Y40" s="4" t="s">
        <v>114</v>
      </c>
      <c r="Z40" s="4">
        <f>Inputs!K$42+Inputs!K$46</f>
        <v>0</v>
      </c>
      <c r="AA40" s="4">
        <f>Inputs!K$43+Inputs!K$45</f>
        <v>0</v>
      </c>
      <c r="AB40" s="4">
        <f>Inputs!K$42+Inputs!K$46+BackEndR0!N$7</f>
        <v>0</v>
      </c>
      <c r="AC40" s="4">
        <f>Inputs!K$43+Inputs!K$45</f>
        <v>0</v>
      </c>
      <c r="AD40" s="4">
        <f>Inputs!K$42+Inputs!K$46+BackEndR0!N$7</f>
        <v>0</v>
      </c>
      <c r="AE40" s="4">
        <f>Inputs!K$43</f>
        <v>0</v>
      </c>
      <c r="AI40"/>
      <c r="AJ40"/>
      <c r="AK40"/>
      <c r="AL40"/>
      <c r="AM40"/>
      <c r="AN40"/>
      <c r="AO40"/>
      <c r="AP40"/>
      <c r="AQ40"/>
    </row>
    <row r="41" spans="15:43" x14ac:dyDescent="0.25">
      <c r="AI41"/>
      <c r="AJ41"/>
      <c r="AK41"/>
      <c r="AL41"/>
      <c r="AM41"/>
      <c r="AN41"/>
      <c r="AO41"/>
      <c r="AP41"/>
      <c r="AQ41"/>
    </row>
    <row r="42" spans="15:43" x14ac:dyDescent="0.25"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</row>
    <row r="43" spans="15:43" x14ac:dyDescent="0.25"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</row>
    <row r="44" spans="15:43" x14ac:dyDescent="0.25"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</row>
    <row r="45" spans="15:43" x14ac:dyDescent="0.25"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</row>
    <row r="46" spans="15:43" x14ac:dyDescent="0.25"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</row>
    <row r="47" spans="15:43" x14ac:dyDescent="0.25"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</row>
    <row r="48" spans="15:43" x14ac:dyDescent="0.25"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</row>
    <row r="49" spans="16:43" x14ac:dyDescent="0.25"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</row>
    <row r="50" spans="16:43" x14ac:dyDescent="0.25"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</row>
    <row r="51" spans="16:43" x14ac:dyDescent="0.25"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</row>
    <row r="52" spans="16:43" x14ac:dyDescent="0.25"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</row>
    <row r="53" spans="16:43" x14ac:dyDescent="0.25"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</row>
    <row r="54" spans="16:43" x14ac:dyDescent="0.25"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</row>
    <row r="55" spans="16:43" x14ac:dyDescent="0.25"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</row>
    <row r="56" spans="16:43" x14ac:dyDescent="0.25"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</row>
    <row r="57" spans="16:43" x14ac:dyDescent="0.25"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</row>
    <row r="58" spans="16:43" x14ac:dyDescent="0.25"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</row>
    <row r="59" spans="16:43" x14ac:dyDescent="0.25"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</row>
    <row r="60" spans="16:43" x14ac:dyDescent="0.25"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</row>
    <row r="61" spans="16:43" x14ac:dyDescent="0.25"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</row>
    <row r="62" spans="16:43" x14ac:dyDescent="0.25"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</row>
    <row r="63" spans="16:43" x14ac:dyDescent="0.25"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</row>
    <row r="64" spans="16:43" x14ac:dyDescent="0.25"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</row>
    <row r="65" spans="1:43" x14ac:dyDescent="0.25"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</row>
    <row r="66" spans="1:43" x14ac:dyDescent="0.25">
      <c r="E66" s="4" t="s">
        <v>134</v>
      </c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</row>
    <row r="67" spans="1:43" x14ac:dyDescent="0.25">
      <c r="D67" s="4" t="s">
        <v>9</v>
      </c>
      <c r="E67" s="4" t="s">
        <v>135</v>
      </c>
      <c r="F67" s="4" t="s">
        <v>136</v>
      </c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</row>
    <row r="68" spans="1:43" x14ac:dyDescent="0.25">
      <c r="A68" s="4" t="s">
        <v>137</v>
      </c>
      <c r="B68" s="4">
        <f>D5</f>
        <v>11.15863955635411</v>
      </c>
      <c r="C68" s="4">
        <v>1</v>
      </c>
      <c r="D68" s="4">
        <f>($C68*$D$6/Inputs!$H$28)</f>
        <v>2.0085551201437402</v>
      </c>
      <c r="E68" s="4">
        <f>-($B$69/$B$70)*$D68*($D68-$B$70)</f>
        <v>8.8754460754423938</v>
      </c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</row>
    <row r="69" spans="1:43" x14ac:dyDescent="0.25">
      <c r="A69" s="4" t="s">
        <v>138</v>
      </c>
      <c r="B69" s="4">
        <f>D4</f>
        <v>4.9098014047958083</v>
      </c>
      <c r="C69" s="4">
        <v>2</v>
      </c>
      <c r="D69" s="4">
        <f>($C69*$D$6/Inputs!$H$28)</f>
        <v>4.0171102402874803</v>
      </c>
      <c r="E69" s="4">
        <f t="shared" ref="E69:E77" si="6">-($B$69/$B$70)*$D69*($D69-$B$70)</f>
        <v>15.778570800786479</v>
      </c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</row>
    <row r="70" spans="1:43" x14ac:dyDescent="0.25">
      <c r="A70" s="4" t="s">
        <v>139</v>
      </c>
      <c r="B70" s="4">
        <f>D6</f>
        <v>20.085551201437401</v>
      </c>
      <c r="C70" s="4">
        <v>3</v>
      </c>
      <c r="D70" s="4">
        <f>($C70*$D$6/Inputs!$H$28)</f>
        <v>6.0256653604312209</v>
      </c>
      <c r="E70" s="4">
        <f t="shared" si="6"/>
        <v>20.709374176032252</v>
      </c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</row>
    <row r="71" spans="1:43" x14ac:dyDescent="0.25">
      <c r="A71" s="4" t="s">
        <v>140</v>
      </c>
      <c r="B71" s="4">
        <f>(-(B68^2)/(16*B69))+B69</f>
        <v>3.3247673769045996</v>
      </c>
      <c r="C71" s="4">
        <v>4</v>
      </c>
      <c r="D71" s="4">
        <f>($C71*$D$6/Inputs!$H$28)</f>
        <v>8.0342204805749606</v>
      </c>
      <c r="E71" s="4">
        <f t="shared" si="6"/>
        <v>23.667856201179717</v>
      </c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</row>
    <row r="72" spans="1:43" x14ac:dyDescent="0.25">
      <c r="C72" s="4">
        <v>5</v>
      </c>
      <c r="D72" s="4">
        <f>($C72*$D$6/Inputs!$H$28)</f>
        <v>10.0427756007187</v>
      </c>
      <c r="E72" s="4">
        <f t="shared" si="6"/>
        <v>24.654016876228873</v>
      </c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</row>
    <row r="73" spans="1:43" x14ac:dyDescent="0.25">
      <c r="C73" s="4">
        <v>6</v>
      </c>
      <c r="D73" s="4">
        <f>($C73*$D$6/Inputs!$H$28)</f>
        <v>12.051330720862442</v>
      </c>
      <c r="E73" s="4">
        <f t="shared" si="6"/>
        <v>23.667856201179717</v>
      </c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</row>
    <row r="74" spans="1:43" x14ac:dyDescent="0.25">
      <c r="C74" s="4">
        <v>7</v>
      </c>
      <c r="D74" s="4">
        <f>($C74*$D$6/Inputs!$H$28)</f>
        <v>14.059885841006182</v>
      </c>
      <c r="E74" s="4">
        <f t="shared" si="6"/>
        <v>20.709374176032252</v>
      </c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</row>
    <row r="75" spans="1:43" x14ac:dyDescent="0.25">
      <c r="C75" s="4">
        <v>8</v>
      </c>
      <c r="D75" s="4">
        <f>($C75*$D$6/Inputs!$H$28)</f>
        <v>16.068440961149921</v>
      </c>
      <c r="E75" s="4">
        <f t="shared" si="6"/>
        <v>15.778570800786476</v>
      </c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</row>
    <row r="76" spans="1:43" x14ac:dyDescent="0.25">
      <c r="C76" s="4">
        <v>9</v>
      </c>
      <c r="D76" s="4">
        <f>($C76*$D$6/Inputs!$H$28)</f>
        <v>18.076996081293661</v>
      </c>
      <c r="E76" s="4">
        <f t="shared" si="6"/>
        <v>8.8754460754423938</v>
      </c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</row>
    <row r="77" spans="1:43" x14ac:dyDescent="0.25">
      <c r="C77" s="4">
        <v>10</v>
      </c>
      <c r="D77" s="4">
        <f>($C77*$D$6/Inputs!$H$28)</f>
        <v>20.085551201437401</v>
      </c>
      <c r="E77" s="4">
        <f t="shared" si="6"/>
        <v>0</v>
      </c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</row>
    <row r="78" spans="1:43" x14ac:dyDescent="0.25"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</row>
    <row r="79" spans="1:43" x14ac:dyDescent="0.25"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</row>
    <row r="80" spans="1:43" x14ac:dyDescent="0.25"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</row>
    <row r="81" spans="16:43" x14ac:dyDescent="0.25"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74E8F-F4F4-4D2F-B1BE-CFB81E5EC937}">
  <sheetPr codeName="Sheet5"/>
  <dimension ref="B1:AD21"/>
  <sheetViews>
    <sheetView workbookViewId="0">
      <selection activeCell="C21" sqref="C21"/>
    </sheetView>
  </sheetViews>
  <sheetFormatPr defaultRowHeight="15" x14ac:dyDescent="0.25"/>
  <cols>
    <col min="2" max="2" width="25.85546875" bestFit="1" customWidth="1"/>
    <col min="22" max="22" width="12" bestFit="1" customWidth="1"/>
  </cols>
  <sheetData>
    <row r="1" spans="2:28" x14ac:dyDescent="0.25">
      <c r="M1" t="s">
        <v>153</v>
      </c>
    </row>
    <row r="2" spans="2:28" ht="15.75" x14ac:dyDescent="0.25">
      <c r="C2" s="46" t="s">
        <v>83</v>
      </c>
      <c r="D2" s="46" t="s">
        <v>141</v>
      </c>
      <c r="E2" s="46" t="s">
        <v>41</v>
      </c>
      <c r="F2" s="47" t="s">
        <v>42</v>
      </c>
      <c r="G2" s="46" t="s">
        <v>147</v>
      </c>
      <c r="H2" s="46" t="s">
        <v>148</v>
      </c>
      <c r="I2" s="46" t="s">
        <v>124</v>
      </c>
      <c r="J2" s="46" t="s">
        <v>125</v>
      </c>
      <c r="K2" s="46" t="s">
        <v>149</v>
      </c>
      <c r="L2" s="46" t="s">
        <v>127</v>
      </c>
      <c r="M2" s="46" t="s">
        <v>142</v>
      </c>
      <c r="N2" s="46" t="s">
        <v>154</v>
      </c>
      <c r="O2" s="46" t="s">
        <v>9</v>
      </c>
      <c r="P2" s="46" t="s">
        <v>151</v>
      </c>
      <c r="Q2" s="46" t="s">
        <v>151</v>
      </c>
      <c r="R2" s="46" t="s">
        <v>143</v>
      </c>
      <c r="S2" s="46" t="s">
        <v>156</v>
      </c>
      <c r="T2" s="46" t="s">
        <v>144</v>
      </c>
      <c r="U2" s="46" t="s">
        <v>145</v>
      </c>
      <c r="V2" s="46" t="s">
        <v>146</v>
      </c>
      <c r="W2" s="46" t="s">
        <v>158</v>
      </c>
      <c r="X2" s="46" t="s">
        <v>158</v>
      </c>
      <c r="Y2" s="46" t="s">
        <v>150</v>
      </c>
      <c r="Z2" s="46" t="s">
        <v>157</v>
      </c>
      <c r="AA2" s="46" t="s">
        <v>155</v>
      </c>
      <c r="AB2" s="46" t="s">
        <v>152</v>
      </c>
    </row>
    <row r="3" spans="2:28" x14ac:dyDescent="0.25">
      <c r="C3" s="46">
        <f>C8/2</f>
        <v>0.32500000000000001</v>
      </c>
      <c r="D3" s="46">
        <f>D4-(D5-D4)</f>
        <v>5.113373086390629</v>
      </c>
      <c r="E3" s="46">
        <f>Inputs!$C$56/D3</f>
        <v>1.7600906188429173</v>
      </c>
      <c r="F3" s="46">
        <f>IF(E3&gt;3,0,Inputs!$C$55*(3-(Inputs!$C$57*E3)))</f>
        <v>0.61995469057854136</v>
      </c>
      <c r="G3" s="46">
        <f>(1/3)+(D3/Inputs!$C$56)</f>
        <v>0.90148589848784755</v>
      </c>
      <c r="H3" s="46">
        <f>2.5*LN(Inputs!$C$35/$C$3)</f>
        <v>9.5799507443865242</v>
      </c>
      <c r="I3" s="46">
        <f>(Inputs!C$56^2)*(Inputs!C$55^2)/4</f>
        <v>5.0625</v>
      </c>
      <c r="J3" s="46">
        <f>((3*I3*O3)/(G3^2*D3^2))^(1/3)</f>
        <v>2.1549002073196535</v>
      </c>
      <c r="K3" s="46">
        <f>(0.9*(I3*H3)^0.5)/(D3*G3)</f>
        <v>1.3596910745727464</v>
      </c>
      <c r="L3" s="46">
        <f t="shared" ref="L3:L5" si="0">MIN(J3,K3)</f>
        <v>1.3596910745727464</v>
      </c>
      <c r="M3" s="46">
        <f>Inputs!$C$55*0.35</f>
        <v>0.17499999999999999</v>
      </c>
      <c r="N3" s="46">
        <f>0.24+(0.096*LOG($C$3,10))+(0.016*(LOG($C$3,10)^2))</f>
        <v>0.19695292830660041</v>
      </c>
      <c r="O3" s="46">
        <f>Inputs!C$49-Inputs!$C$52</f>
        <v>14</v>
      </c>
      <c r="P3" s="46">
        <f>Inputs!$C$53</f>
        <v>15</v>
      </c>
      <c r="Q3" s="46">
        <f>P3</f>
        <v>15</v>
      </c>
      <c r="R3" s="46">
        <f>N3*LN(30/$C$3)/(LN(Q3/$C$3))</f>
        <v>0.23257872915916192</v>
      </c>
      <c r="S3" s="46">
        <f>0.75*R3*O3</f>
        <v>2.4420766561712002</v>
      </c>
      <c r="T3" s="46">
        <f>0.5*R3*O3</f>
        <v>1.6280511041141335</v>
      </c>
      <c r="U3" s="46">
        <f>((S3^2)+(M3^2))^0.5</f>
        <v>2.4483389051796549</v>
      </c>
      <c r="V3" s="46">
        <f>((T3^2)+(M3^2))^0.5</f>
        <v>1.6374295092025333</v>
      </c>
      <c r="W3" s="46">
        <v>6.1</v>
      </c>
      <c r="X3" s="46">
        <f>W3</f>
        <v>6.1</v>
      </c>
      <c r="Y3" s="46">
        <f>X3+L3-F3</f>
        <v>6.8397363839942038</v>
      </c>
      <c r="Z3" s="46">
        <f>Inputs!$C$50-Inputs!$C$35</f>
        <v>2</v>
      </c>
      <c r="AA3" s="46">
        <f>IF(Y3&lt;Z3,0,Y3-Z3)</f>
        <v>4.8397363839942038</v>
      </c>
      <c r="AB3" s="48">
        <f>EXP(AA3^2/(2*V3^2))*(4*D3*U3*V3)/(Inputs!$C$56*(Inputs!$C$55^2))</f>
        <v>2875.0254557506237</v>
      </c>
    </row>
    <row r="4" spans="2:28" x14ac:dyDescent="0.25">
      <c r="D4" s="46">
        <f>BackEndR0!D24</f>
        <v>7.0011309876397592</v>
      </c>
      <c r="E4" s="46">
        <f>Inputs!$C$56/D4</f>
        <v>1.2855065868484923</v>
      </c>
      <c r="F4" s="46">
        <f>BackEndR0!$D$26</f>
        <v>0.85724670657575386</v>
      </c>
      <c r="G4" s="46">
        <f>BackEndR0!$G$24</f>
        <v>1.1112367764044178</v>
      </c>
      <c r="H4" s="46">
        <f>2.5*LN(Inputs!$C$35/$C$3)</f>
        <v>9.5799507443865242</v>
      </c>
      <c r="I4" s="46">
        <f>(Inputs!C$56^2)*(Inputs!C$55^2)/4</f>
        <v>5.0625</v>
      </c>
      <c r="J4" s="46">
        <f>BackEndR0!$D$29</f>
        <v>1.5252834459662061</v>
      </c>
      <c r="K4" s="46">
        <f>BackEndR0!$G$26</f>
        <v>0.72912893930723599</v>
      </c>
      <c r="L4" s="46">
        <f t="shared" si="0"/>
        <v>0.72912893930723599</v>
      </c>
      <c r="M4" s="46">
        <f>Inputs!$C$55*0.35</f>
        <v>0.17499999999999999</v>
      </c>
      <c r="N4" s="46">
        <f t="shared" ref="N4:N5" si="1">0.24+(0.096*LOG($C$3,10))+(0.016*(LOG($C$3,10)^2))</f>
        <v>0.19695292830660041</v>
      </c>
      <c r="O4" s="46">
        <f>Inputs!C$49-Inputs!$C$52</f>
        <v>14</v>
      </c>
      <c r="P4" s="46">
        <f>Inputs!$C$53</f>
        <v>15</v>
      </c>
      <c r="Q4" s="46">
        <f>P4</f>
        <v>15</v>
      </c>
      <c r="R4" s="46">
        <f t="shared" ref="R4:R5" si="2">N4*LN(30/$C$3)/(LN(Q4/$C$3))</f>
        <v>0.23257872915916192</v>
      </c>
      <c r="S4" s="46">
        <f>0.75*R4*O4</f>
        <v>2.4420766561712002</v>
      </c>
      <c r="T4" s="46">
        <f>0.5*R4*O4</f>
        <v>1.6280511041141335</v>
      </c>
      <c r="U4" s="46">
        <f>((S4^2)+(M4^2))^0.5</f>
        <v>2.4483389051796549</v>
      </c>
      <c r="V4" s="46">
        <f>((T4^2)+(M4^2))^0.5</f>
        <v>1.6374295092025333</v>
      </c>
      <c r="W4" s="46">
        <v>6.1</v>
      </c>
      <c r="X4" s="46">
        <f>W4</f>
        <v>6.1</v>
      </c>
      <c r="Y4" s="46">
        <f>X4+L4-F4</f>
        <v>5.9718822327314811</v>
      </c>
      <c r="Z4" s="46">
        <f>Inputs!$C$50-Inputs!$C$35</f>
        <v>2</v>
      </c>
      <c r="AA4" s="46">
        <f>IF(Y4&lt;Z4,0,Y4-Z4)</f>
        <v>3.9718822327314811</v>
      </c>
      <c r="AB4" s="48">
        <f>EXP(AA4^2/(2*V4^2))*(4*D4*U4*V4)/(Inputs!$C$56*(Inputs!$C$55^2))</f>
        <v>945.71221305365748</v>
      </c>
    </row>
    <row r="5" spans="2:28" x14ac:dyDescent="0.25">
      <c r="D5" s="46">
        <f>Inputs!$C$39*2.5</f>
        <v>8.8888888888888893</v>
      </c>
      <c r="E5" s="46">
        <f>Inputs!$C$56/D5</f>
        <v>1.0125</v>
      </c>
      <c r="F5" s="46">
        <f>IF(E5&gt;3,0,Inputs!$C$55*(3-(Inputs!$C$57*E5)))</f>
        <v>0.99375000000000002</v>
      </c>
      <c r="G5" s="46">
        <f>(1/3)+(D5/Inputs!$C$56)</f>
        <v>1.3209876543209877</v>
      </c>
      <c r="H5" s="46">
        <f>2.5*LN(Inputs!$C$35/$C$3)</f>
        <v>9.5799507443865242</v>
      </c>
      <c r="I5" s="46">
        <f>(Inputs!C$56^2)*(Inputs!C$55^2)/4</f>
        <v>5.0625</v>
      </c>
      <c r="J5" s="46">
        <f>((3*I5*O5)/(G5^2*D5^2))^(1/3)</f>
        <v>1.1553332827242859</v>
      </c>
      <c r="K5" s="46">
        <f>(0.9*(I5*H5)^0.5)/(D5*G5)</f>
        <v>0.53377770400027913</v>
      </c>
      <c r="L5" s="46">
        <f t="shared" si="0"/>
        <v>0.53377770400027913</v>
      </c>
      <c r="M5" s="46">
        <f>Inputs!$C$55*0.35</f>
        <v>0.17499999999999999</v>
      </c>
      <c r="N5" s="46">
        <f t="shared" si="1"/>
        <v>0.19695292830660041</v>
      </c>
      <c r="O5" s="46">
        <f>Inputs!C$49-Inputs!$C$52</f>
        <v>14</v>
      </c>
      <c r="P5" s="46">
        <f>Inputs!$C$53</f>
        <v>15</v>
      </c>
      <c r="Q5" s="46">
        <f t="shared" ref="Q5" si="3">P5</f>
        <v>15</v>
      </c>
      <c r="R5" s="46">
        <f t="shared" si="2"/>
        <v>0.23257872915916192</v>
      </c>
      <c r="S5" s="46">
        <f>0.75*R5*O5</f>
        <v>2.4420766561712002</v>
      </c>
      <c r="T5" s="46">
        <f>0.5*R5*O5</f>
        <v>1.6280511041141335</v>
      </c>
      <c r="U5" s="46">
        <f>((S5^2)+(M5^2))^0.5</f>
        <v>2.4483389051796549</v>
      </c>
      <c r="V5" s="46">
        <f>((T5^2)+(M5^2))^0.5</f>
        <v>1.6374295092025333</v>
      </c>
      <c r="W5" s="46">
        <v>6.1</v>
      </c>
      <c r="X5" s="46">
        <f t="shared" ref="X5" si="4">W5</f>
        <v>6.1</v>
      </c>
      <c r="Y5" s="46">
        <f>X5+L5-F5</f>
        <v>5.6400277040002784</v>
      </c>
      <c r="Z5" s="46">
        <f>Inputs!$C$50-Inputs!$C$35</f>
        <v>2</v>
      </c>
      <c r="AA5" s="46">
        <f t="shared" ref="AA5" si="5">IF(Y5&lt;Z5,0,Y5-Z5)</f>
        <v>3.6400277040002784</v>
      </c>
      <c r="AB5" s="48">
        <f>EXP(AA5^2/(2*V5^2))*(4*D5*U5*V5)/(Inputs!$C$56*(Inputs!$C$55^2))</f>
        <v>749.64358791993482</v>
      </c>
    </row>
    <row r="6" spans="2:28" ht="15.75" thickBot="1" x14ac:dyDescent="0.3"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>
        <f>MIN(AB3:AB5)</f>
        <v>749.64358791993482</v>
      </c>
    </row>
    <row r="7" spans="2:28" ht="15.75" x14ac:dyDescent="0.25">
      <c r="B7" s="67" t="str">
        <f>Inputs!A58</f>
        <v>Building Terrain (z0, ab, δb)</v>
      </c>
      <c r="C7" s="68" t="str">
        <f>Inputs!C58</f>
        <v>z0 (m)</v>
      </c>
      <c r="D7" s="50" t="s">
        <v>141</v>
      </c>
      <c r="E7" s="52" t="s">
        <v>41</v>
      </c>
      <c r="F7" s="53" t="s">
        <v>42</v>
      </c>
      <c r="G7" s="52" t="s">
        <v>147</v>
      </c>
      <c r="H7" s="52" t="s">
        <v>148</v>
      </c>
      <c r="I7" s="52" t="s">
        <v>124</v>
      </c>
      <c r="J7" s="52" t="s">
        <v>125</v>
      </c>
      <c r="K7" s="52" t="s">
        <v>149</v>
      </c>
      <c r="L7" s="52" t="s">
        <v>127</v>
      </c>
      <c r="M7" s="52" t="s">
        <v>142</v>
      </c>
      <c r="N7" s="52" t="s">
        <v>154</v>
      </c>
      <c r="O7" s="52" t="s">
        <v>9</v>
      </c>
      <c r="P7" s="52" t="s">
        <v>151</v>
      </c>
      <c r="Q7" s="52" t="s">
        <v>151</v>
      </c>
      <c r="R7" s="52" t="s">
        <v>143</v>
      </c>
      <c r="S7" s="52" t="s">
        <v>156</v>
      </c>
      <c r="T7" s="52" t="s">
        <v>144</v>
      </c>
      <c r="U7" s="52" t="s">
        <v>145</v>
      </c>
      <c r="V7" s="52" t="s">
        <v>146</v>
      </c>
      <c r="W7" s="52" t="s">
        <v>158</v>
      </c>
      <c r="X7" s="52" t="s">
        <v>158</v>
      </c>
      <c r="Y7" s="52" t="s">
        <v>150</v>
      </c>
      <c r="Z7" s="52" t="s">
        <v>157</v>
      </c>
      <c r="AA7" s="52" t="s">
        <v>155</v>
      </c>
      <c r="AB7" s="51" t="s">
        <v>152</v>
      </c>
    </row>
    <row r="8" spans="2:28" x14ac:dyDescent="0.25">
      <c r="B8" s="58" t="str">
        <f>Inputs!B27</f>
        <v>Suburban</v>
      </c>
      <c r="C8" s="69">
        <f>Inputs!C59</f>
        <v>0.65</v>
      </c>
      <c r="D8" s="54">
        <f>D9-(D10-D9)</f>
        <v>5.113373086390629</v>
      </c>
      <c r="E8" s="46">
        <f>Inputs!$C$56/D8</f>
        <v>1.7600906188429173</v>
      </c>
      <c r="F8" s="46">
        <f>IF(E8&gt;3,0,Inputs!$C$55*(3-(Inputs!$C$57*E8)))</f>
        <v>0.61995469057854136</v>
      </c>
      <c r="G8" s="46">
        <f>(1/3)+(D8/Inputs!$C$56)</f>
        <v>0.90148589848784755</v>
      </c>
      <c r="H8" s="46">
        <f>2.5*LN(Inputs!$C$35/Inputs!$C$59)</f>
        <v>7.8470827929866607</v>
      </c>
      <c r="I8" s="46">
        <f>(Inputs!C$56^2)*(Inputs!C$55^2)/4</f>
        <v>5.0625</v>
      </c>
      <c r="J8" s="46">
        <f>((3*I8*O8)/(G8^2*D8^2))^(1/3)</f>
        <v>2.1549002073196535</v>
      </c>
      <c r="K8" s="46">
        <f>(0.9*(I8*H8)^0.5)/(D8*G8)</f>
        <v>1.230588142412232</v>
      </c>
      <c r="L8" s="46">
        <f>MIN(J8,K8)</f>
        <v>1.230588142412232</v>
      </c>
      <c r="M8" s="46">
        <f>Inputs!$C$55*0.35</f>
        <v>0.17499999999999999</v>
      </c>
      <c r="N8" s="46">
        <f>0.24+(0.096*LOG($C$8,10))+(0.016*(LOG($C$8,10)^2))</f>
        <v>0.22259970483167643</v>
      </c>
      <c r="O8" s="46">
        <f>Inputs!C$49-Inputs!$C$52</f>
        <v>14</v>
      </c>
      <c r="P8" s="46">
        <f>Inputs!$C$53</f>
        <v>15</v>
      </c>
      <c r="Q8" s="46">
        <f>P8</f>
        <v>15</v>
      </c>
      <c r="R8" s="46">
        <f>N8*LN(30/Inputs!$C$59)/(LN(Q8/Inputs!$C$59))</f>
        <v>0.27175630285287145</v>
      </c>
      <c r="S8" s="46">
        <f>0.75*R8*O8</f>
        <v>2.85344117995515</v>
      </c>
      <c r="T8" s="46">
        <f>0.5*R8*O8</f>
        <v>1.9022941199701</v>
      </c>
      <c r="U8" s="46">
        <f>((S8^2)+(M8^2))^0.5</f>
        <v>2.8588024708719977</v>
      </c>
      <c r="V8" s="46">
        <f>((T8^2)+(M8^2))^0.5</f>
        <v>1.9103266524007922</v>
      </c>
      <c r="W8" s="46">
        <v>6.1</v>
      </c>
      <c r="X8" s="46">
        <f>W8</f>
        <v>6.1</v>
      </c>
      <c r="Y8" s="55">
        <f>X8+L8-F8</f>
        <v>6.7106334518336901</v>
      </c>
      <c r="Z8" s="46">
        <f>Inputs!$C$50-Inputs!$C$35</f>
        <v>2</v>
      </c>
      <c r="AA8" s="46">
        <f>IF(Y8&lt;Z8,0,Y8-Z8)</f>
        <v>4.7106334518336901</v>
      </c>
      <c r="AB8" s="56">
        <f>EXP(AA8^2/(2*V8^2))*(4*D8*U8*V8)/(Inputs!$C$56*(Inputs!$C$55^2))</f>
        <v>1038.1327296720988</v>
      </c>
    </row>
    <row r="9" spans="2:28" ht="15.75" thickBot="1" x14ac:dyDescent="0.3">
      <c r="B9" s="70" t="s">
        <v>159</v>
      </c>
      <c r="C9" s="71">
        <f>Inputs!$C$57</f>
        <v>1</v>
      </c>
      <c r="D9" s="58">
        <f>BackEndR0!$D$24</f>
        <v>7.0011309876397592</v>
      </c>
      <c r="E9" s="55">
        <f>Inputs!$C$56/D9</f>
        <v>1.2855065868484923</v>
      </c>
      <c r="F9" s="55">
        <f>BackEndR0!$D$26</f>
        <v>0.85724670657575386</v>
      </c>
      <c r="G9" s="55">
        <f>BackEndR0!$G$24</f>
        <v>1.1112367764044178</v>
      </c>
      <c r="H9" s="55">
        <f>BackEndR0!$G$23</f>
        <v>7.8470827929866607</v>
      </c>
      <c r="I9" s="55">
        <f>(Inputs!C$56^2)*(Inputs!C$55^2)/4</f>
        <v>5.0625</v>
      </c>
      <c r="J9" s="55">
        <f>BackEndR0!$D$29</f>
        <v>1.5252834459662061</v>
      </c>
      <c r="K9" s="55">
        <f>BackEndR0!$G$26</f>
        <v>0.72912893930723599</v>
      </c>
      <c r="L9" s="55">
        <f>BackEndR0!$D$30</f>
        <v>0.72912893930723599</v>
      </c>
      <c r="M9" s="55">
        <f>Inputs!$C$55*0.35</f>
        <v>0.17499999999999999</v>
      </c>
      <c r="N9" s="55">
        <f>0.24+(0.096*LOG(Inputs!$C$59,10))+(0.016*(LOG(Inputs!$C$59,10)^2))</f>
        <v>0.22259970483167643</v>
      </c>
      <c r="O9" s="55">
        <f>Inputs!C$49-Inputs!$C$52</f>
        <v>14</v>
      </c>
      <c r="P9" s="55">
        <f>Inputs!$C$53</f>
        <v>15</v>
      </c>
      <c r="Q9" s="55">
        <f>P9</f>
        <v>15</v>
      </c>
      <c r="R9" s="55">
        <f>N9*LN(30/Inputs!$C$59)/(LN(Q9/Inputs!$C$59))</f>
        <v>0.27175630285287145</v>
      </c>
      <c r="S9" s="55">
        <f>0.75*R9*O9</f>
        <v>2.85344117995515</v>
      </c>
      <c r="T9" s="55">
        <f>0.5*R9*O9</f>
        <v>1.9022941199701</v>
      </c>
      <c r="U9" s="55">
        <f>((S9^2)+(M9^2))^0.5</f>
        <v>2.8588024708719977</v>
      </c>
      <c r="V9" s="55">
        <f>((T9^2)+(M9^2))^0.5</f>
        <v>1.9103266524007922</v>
      </c>
      <c r="W9" s="55">
        <v>6.1</v>
      </c>
      <c r="X9" s="55">
        <f>W9</f>
        <v>6.1</v>
      </c>
      <c r="Y9" s="55">
        <f>X9+L9-F9</f>
        <v>5.9718822327314811</v>
      </c>
      <c r="Z9" s="55">
        <f>Inputs!$C$50-Inputs!$C$35</f>
        <v>2</v>
      </c>
      <c r="AA9" s="55">
        <f>IF(Y9&lt;Z9,0,Y9-Z9)</f>
        <v>3.9718822327314811</v>
      </c>
      <c r="AB9" s="59">
        <f>EXP(AA9^2/(2*V9^2))*(4*D9*U9*V9)/(Inputs!$C$56*(Inputs!$C$55^2))</f>
        <v>590.26654378578598</v>
      </c>
    </row>
    <row r="10" spans="2:28" ht="15.75" thickBot="1" x14ac:dyDescent="0.3">
      <c r="D10" s="57">
        <f>Inputs!$C$39*2.5</f>
        <v>8.8888888888888893</v>
      </c>
      <c r="E10" s="60">
        <f>Inputs!$C$56/D10</f>
        <v>1.0125</v>
      </c>
      <c r="F10" s="60">
        <f>IF(E10&gt;3,0,Inputs!$C$55*(3-(Inputs!$C$57*E10)))</f>
        <v>0.99375000000000002</v>
      </c>
      <c r="G10" s="60">
        <f>(1/3)+(D10/Inputs!$C$56)</f>
        <v>1.3209876543209877</v>
      </c>
      <c r="H10" s="60">
        <f>BackEndR0!$G$23</f>
        <v>7.8470827929866607</v>
      </c>
      <c r="I10" s="60">
        <f>(Inputs!C$56^2)*(Inputs!C$55^2)/4</f>
        <v>5.0625</v>
      </c>
      <c r="J10" s="60">
        <f>((3*I10*O10)/(G10^2*D10^2))^(1/3)</f>
        <v>1.1553332827242859</v>
      </c>
      <c r="K10" s="60">
        <f>(0.9*(I10*H10)^0.5)/(D10*G10)</f>
        <v>0.48309540711898402</v>
      </c>
      <c r="L10" s="60">
        <f>MIN(J10,K10)</f>
        <v>0.48309540711898402</v>
      </c>
      <c r="M10" s="60">
        <f>Inputs!$C$55*0.35</f>
        <v>0.17499999999999999</v>
      </c>
      <c r="N10" s="60">
        <f>0.24+(0.096*LOG($C$8,10))+(0.016*(LOG($C$8,10)^2))</f>
        <v>0.22259970483167643</v>
      </c>
      <c r="O10" s="60">
        <f>Inputs!C$49-Inputs!$C$52</f>
        <v>14</v>
      </c>
      <c r="P10" s="60">
        <f>Inputs!$C$53</f>
        <v>15</v>
      </c>
      <c r="Q10" s="60">
        <f t="shared" ref="Q10" si="6">P10</f>
        <v>15</v>
      </c>
      <c r="R10" s="60">
        <f>N10*LN(30/Inputs!$C$59)/(LN(Q10/Inputs!$C$59))</f>
        <v>0.27175630285287145</v>
      </c>
      <c r="S10" s="60">
        <f>0.75*R10*O10</f>
        <v>2.85344117995515</v>
      </c>
      <c r="T10" s="60">
        <f>0.5*R10*O10</f>
        <v>1.9022941199701</v>
      </c>
      <c r="U10" s="60">
        <f>((S10^2)+(M10^2))^0.5</f>
        <v>2.8588024708719977</v>
      </c>
      <c r="V10" s="60">
        <f>((T10^2)+(M10^2))^0.5</f>
        <v>1.9103266524007922</v>
      </c>
      <c r="W10" s="60">
        <v>6.1</v>
      </c>
      <c r="X10" s="60">
        <f t="shared" ref="X10" si="7">W10</f>
        <v>6.1</v>
      </c>
      <c r="Y10" s="61">
        <f>X10+L10-F10</f>
        <v>5.5893454071189836</v>
      </c>
      <c r="Z10" s="60">
        <f>Inputs!$C$50-Inputs!$C$35</f>
        <v>2</v>
      </c>
      <c r="AA10" s="60">
        <f t="shared" ref="AA10" si="8">IF(Y10&lt;Z10,0,Y10-Z10)</f>
        <v>3.5893454071189836</v>
      </c>
      <c r="AB10" s="62">
        <f>EXP(AA10^2/(2*V10^2))*(4*D10*U10*V10)/(Inputs!$C$56*(Inputs!$C$55^2))</f>
        <v>504.21764003449243</v>
      </c>
    </row>
    <row r="11" spans="2:28" ht="15.75" thickBot="1" x14ac:dyDescent="0.3">
      <c r="D11" s="63"/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4"/>
      <c r="Z11" s="63"/>
      <c r="AA11" s="65"/>
      <c r="AB11" s="66">
        <f>MIN(AB8:AB10)</f>
        <v>504.21764003449243</v>
      </c>
    </row>
    <row r="12" spans="2:28" ht="15.75" x14ac:dyDescent="0.25">
      <c r="C12" s="46" t="s">
        <v>83</v>
      </c>
      <c r="D12" s="46" t="s">
        <v>141</v>
      </c>
      <c r="E12" s="46" t="s">
        <v>41</v>
      </c>
      <c r="F12" s="47" t="s">
        <v>42</v>
      </c>
      <c r="G12" s="46" t="s">
        <v>147</v>
      </c>
      <c r="H12" s="46" t="s">
        <v>148</v>
      </c>
      <c r="I12" s="46" t="s">
        <v>124</v>
      </c>
      <c r="J12" s="46" t="s">
        <v>125</v>
      </c>
      <c r="K12" s="46" t="s">
        <v>149</v>
      </c>
      <c r="L12" s="46" t="s">
        <v>127</v>
      </c>
      <c r="M12" s="46" t="s">
        <v>142</v>
      </c>
      <c r="N12" s="46" t="s">
        <v>154</v>
      </c>
      <c r="O12" s="46" t="s">
        <v>9</v>
      </c>
      <c r="P12" s="46" t="s">
        <v>151</v>
      </c>
      <c r="Q12" s="46" t="s">
        <v>151</v>
      </c>
      <c r="R12" s="46" t="s">
        <v>143</v>
      </c>
      <c r="S12" s="46" t="s">
        <v>156</v>
      </c>
      <c r="T12" s="46" t="s">
        <v>144</v>
      </c>
      <c r="U12" s="46" t="s">
        <v>145</v>
      </c>
      <c r="V12" s="46" t="s">
        <v>146</v>
      </c>
      <c r="W12" s="46" t="s">
        <v>158</v>
      </c>
      <c r="X12" s="46" t="s">
        <v>158</v>
      </c>
      <c r="Y12" s="46" t="s">
        <v>150</v>
      </c>
      <c r="Z12" s="46" t="s">
        <v>157</v>
      </c>
      <c r="AA12" s="46" t="s">
        <v>155</v>
      </c>
      <c r="AB12" s="63" t="s">
        <v>152</v>
      </c>
    </row>
    <row r="13" spans="2:28" x14ac:dyDescent="0.25">
      <c r="C13" s="46">
        <f>C8*1.5</f>
        <v>0.97500000000000009</v>
      </c>
      <c r="D13" s="46">
        <f>D14-(D15-D14)</f>
        <v>5.113373086390629</v>
      </c>
      <c r="E13" s="46">
        <f>Inputs!$C$56/D13</f>
        <v>1.7600906188429173</v>
      </c>
      <c r="F13" s="46">
        <f>IF(E13&gt;3,0,Inputs!$C$55*(3-(Inputs!$C$57*E13)))</f>
        <v>0.61995469057854136</v>
      </c>
      <c r="G13" s="46">
        <f>(1/3)+(D13/Inputs!$C$56)</f>
        <v>0.90148589848784755</v>
      </c>
      <c r="H13" s="46">
        <f>2.5*LN(Inputs!$C$35/$C$13)</f>
        <v>6.8334200227162505</v>
      </c>
      <c r="I13" s="46">
        <f>(Inputs!C$56^2)*(Inputs!C$55^2)/4</f>
        <v>5.0625</v>
      </c>
      <c r="J13" s="46">
        <f t="shared" ref="J13:J15" si="9">((3*I13*O13)/(G13^2*D13^2))^(1/3)</f>
        <v>2.1549002073196535</v>
      </c>
      <c r="K13" s="46">
        <f t="shared" ref="K13:K15" si="10">(0.9*(I13*H13)^0.5)/(D13*G13)</f>
        <v>1.1483589686559634</v>
      </c>
      <c r="L13" s="46">
        <f>MIN(J13,K13)</f>
        <v>1.1483589686559634</v>
      </c>
      <c r="M13" s="46">
        <f>Inputs!$C$55*0.35</f>
        <v>0.17499999999999999</v>
      </c>
      <c r="N13" s="46">
        <f>0.24+(0.096*LOG($C$13,10))+(0.016*(LOG($C$13,10)^2))</f>
        <v>0.23894637748267453</v>
      </c>
      <c r="O13" s="46">
        <f>Inputs!C$49-Inputs!$C$52</f>
        <v>14</v>
      </c>
      <c r="P13" s="46">
        <f>Inputs!$C$53</f>
        <v>15</v>
      </c>
      <c r="Q13" s="46">
        <f t="shared" ref="Q13:Q14" si="11">P13</f>
        <v>15</v>
      </c>
      <c r="R13" s="46">
        <f>N13*LN(30/$C$13)/(LN(Q13/$C$13))</f>
        <v>0.29954012384487055</v>
      </c>
      <c r="S13" s="46">
        <f t="shared" ref="S13:S14" si="12">0.75*R13*O13</f>
        <v>3.1451713003711408</v>
      </c>
      <c r="T13" s="46">
        <f t="shared" ref="T13:T14" si="13">0.5*R13*O13</f>
        <v>2.0967808669140937</v>
      </c>
      <c r="U13" s="46">
        <f t="shared" ref="U13:U14" si="14">((S13^2)+(M13^2))^0.5</f>
        <v>3.1500361122816183</v>
      </c>
      <c r="V13" s="46">
        <f t="shared" ref="V13:V14" si="15">((T13^2)+(M13^2))^0.5</f>
        <v>2.1040710548498636</v>
      </c>
      <c r="W13" s="46">
        <v>6.1</v>
      </c>
      <c r="X13" s="46">
        <f t="shared" ref="X13:X14" si="16">W13</f>
        <v>6.1</v>
      </c>
      <c r="Y13" s="46">
        <f>X13+L13-F13</f>
        <v>6.6284042780774222</v>
      </c>
      <c r="Z13" s="46">
        <f>Inputs!$C$50-Inputs!$C$35</f>
        <v>2</v>
      </c>
      <c r="AA13" s="46">
        <f>IF(Y13&lt;Z13,0,Y13-Z13)</f>
        <v>4.6284042780774222</v>
      </c>
      <c r="AB13" s="48">
        <f>EXP(AA13^2/(2*V13^2))*(4*D13*U13*V13)/(Inputs!$C$56*(Inputs!$C$55^2))</f>
        <v>677.17804685348312</v>
      </c>
    </row>
    <row r="14" spans="2:28" x14ac:dyDescent="0.25">
      <c r="D14" s="46">
        <f>BackEndR0!$D$24</f>
        <v>7.0011309876397592</v>
      </c>
      <c r="E14" s="46">
        <f>Inputs!$C$56/D14</f>
        <v>1.2855065868484923</v>
      </c>
      <c r="F14" s="46">
        <f>BackEndR0!$D$26</f>
        <v>0.85724670657575386</v>
      </c>
      <c r="G14" s="46">
        <f>BackEndR0!$G$24</f>
        <v>1.1112367764044178</v>
      </c>
      <c r="H14" s="46">
        <f>2.5*LN(Inputs!$C$35/$C$13)</f>
        <v>6.8334200227162505</v>
      </c>
      <c r="I14" s="46">
        <f>(Inputs!C$56^2)*(Inputs!C$55^2)/4</f>
        <v>5.0625</v>
      </c>
      <c r="J14" s="46">
        <f t="shared" si="9"/>
        <v>1.5201562735347889</v>
      </c>
      <c r="K14" s="46">
        <f t="shared" si="10"/>
        <v>0.68040778868450047</v>
      </c>
      <c r="L14" s="46">
        <f t="shared" ref="L14:L15" si="17">MIN(J14,K14)</f>
        <v>0.68040778868450047</v>
      </c>
      <c r="M14" s="46">
        <f>Inputs!$C$55*0.35</f>
        <v>0.17499999999999999</v>
      </c>
      <c r="N14" s="46">
        <f t="shared" ref="N14:N15" si="18">0.24+(0.096*LOG($C$13,10))+(0.016*(LOG($C$13,10)^2))</f>
        <v>0.23894637748267453</v>
      </c>
      <c r="O14" s="46">
        <f>Inputs!C$49-Inputs!$C$52</f>
        <v>14</v>
      </c>
      <c r="P14" s="46">
        <f>Inputs!$C$53</f>
        <v>15</v>
      </c>
      <c r="Q14" s="46">
        <f t="shared" si="11"/>
        <v>15</v>
      </c>
      <c r="R14" s="46">
        <f t="shared" ref="R14:R15" si="19">N14*LN(30/$C$13)/(LN(Q14/$C$13))</f>
        <v>0.29954012384487055</v>
      </c>
      <c r="S14" s="46">
        <f t="shared" si="12"/>
        <v>3.1451713003711408</v>
      </c>
      <c r="T14" s="46">
        <f t="shared" si="13"/>
        <v>2.0967808669140937</v>
      </c>
      <c r="U14" s="46">
        <f t="shared" si="14"/>
        <v>3.1500361122816183</v>
      </c>
      <c r="V14" s="46">
        <f t="shared" si="15"/>
        <v>2.1040710548498636</v>
      </c>
      <c r="W14" s="46">
        <v>6.1</v>
      </c>
      <c r="X14" s="46">
        <f t="shared" si="16"/>
        <v>6.1</v>
      </c>
      <c r="Y14" s="46">
        <f>X14+L14-F14</f>
        <v>5.9231610821087468</v>
      </c>
      <c r="Z14" s="46">
        <f>Inputs!$C$50-Inputs!$C$35</f>
        <v>2</v>
      </c>
      <c r="AA14" s="46">
        <f>IF(Y14&lt;Z14,0,Y14-Z14)</f>
        <v>3.9231610821087468</v>
      </c>
      <c r="AB14" s="48">
        <f>EXP(AA14^2/(2*V14^2))*(4*D14*U14*V14)/(Inputs!$C$56*(Inputs!$C$55^2))</f>
        <v>469.19141922824269</v>
      </c>
    </row>
    <row r="15" spans="2:28" x14ac:dyDescent="0.25">
      <c r="D15" s="46">
        <f>Inputs!$C$39*2.5</f>
        <v>8.8888888888888893</v>
      </c>
      <c r="E15" s="46">
        <f>Inputs!$C$56/D15</f>
        <v>1.0125</v>
      </c>
      <c r="F15" s="46">
        <f>IF(E15&gt;3,0,Inputs!$C$55*(3-(Inputs!$C$57*E15)))</f>
        <v>0.99375000000000002</v>
      </c>
      <c r="G15" s="46">
        <f>(1/3)+(D15/Inputs!$C$56)</f>
        <v>1.3209876543209877</v>
      </c>
      <c r="H15" s="46">
        <f>2.5*LN(Inputs!$C$35/$C$13)</f>
        <v>6.8334200227162505</v>
      </c>
      <c r="I15" s="46">
        <f>(Inputs!C$56^2)*(Inputs!C$55^2)/4</f>
        <v>5.0625</v>
      </c>
      <c r="J15" s="46">
        <f t="shared" si="9"/>
        <v>1.1553332827242859</v>
      </c>
      <c r="K15" s="46">
        <f t="shared" si="10"/>
        <v>0.45081447184605572</v>
      </c>
      <c r="L15" s="46">
        <f t="shared" si="17"/>
        <v>0.45081447184605572</v>
      </c>
      <c r="M15" s="46">
        <f>Inputs!$C$55*0.35</f>
        <v>0.17499999999999999</v>
      </c>
      <c r="N15" s="46">
        <f t="shared" si="18"/>
        <v>0.23894637748267453</v>
      </c>
      <c r="O15" s="46">
        <f>Inputs!C$49-Inputs!$C$52</f>
        <v>14</v>
      </c>
      <c r="P15" s="46">
        <f>Inputs!$C$53</f>
        <v>15</v>
      </c>
      <c r="Q15" s="46">
        <f t="shared" ref="Q15" si="20">P15</f>
        <v>15</v>
      </c>
      <c r="R15" s="46">
        <f t="shared" si="19"/>
        <v>0.29954012384487055</v>
      </c>
      <c r="S15" s="46">
        <f t="shared" ref="S15" si="21">0.75*R15*O15</f>
        <v>3.1451713003711408</v>
      </c>
      <c r="T15" s="46">
        <f t="shared" ref="T15" si="22">0.5*R15*O15</f>
        <v>2.0967808669140937</v>
      </c>
      <c r="U15" s="46">
        <f t="shared" ref="U15" si="23">((S15^2)+(M15^2))^0.5</f>
        <v>3.1500361122816183</v>
      </c>
      <c r="V15" s="46">
        <f t="shared" ref="V15" si="24">((T15^2)+(M15^2))^0.5</f>
        <v>2.1040710548498636</v>
      </c>
      <c r="W15" s="46">
        <v>6.1</v>
      </c>
      <c r="X15" s="46">
        <f t="shared" ref="X15" si="25">W15</f>
        <v>6.1</v>
      </c>
      <c r="Y15" s="46">
        <f>X15+L15-F15</f>
        <v>5.5570644718460551</v>
      </c>
      <c r="Z15" s="46">
        <f>Inputs!$C$50-Inputs!$C$35</f>
        <v>2</v>
      </c>
      <c r="AA15" s="46">
        <f>IF(Y15&lt;Z15,0,Y15-Z15)</f>
        <v>3.5570644718460551</v>
      </c>
      <c r="AB15" s="48">
        <f>EXP(AA15^2/(2*V15^2))*(4*D15*U15*V15)/(Inputs!$C$56*(Inputs!$C$55^2))</f>
        <v>437.22837259733092</v>
      </c>
    </row>
    <row r="16" spans="2:28" x14ac:dyDescent="0.25">
      <c r="AB16" s="46">
        <f>MIN(AB13:AB15)</f>
        <v>437.22837259733092</v>
      </c>
    </row>
    <row r="17" spans="27:30" x14ac:dyDescent="0.25">
      <c r="AA17" s="46" t="s">
        <v>160</v>
      </c>
      <c r="AB17" s="46">
        <f>MIN(AB6,AB11,AB16)</f>
        <v>437.22837259733092</v>
      </c>
    </row>
    <row r="21" spans="27:30" x14ac:dyDescent="0.25">
      <c r="AD21" t="s">
        <v>161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76DEB-7E79-4A0D-AB87-B03AEEFD4358}">
  <sheetPr codeName="Sheet4"/>
  <dimension ref="A1:D44"/>
  <sheetViews>
    <sheetView topLeftCell="A29" workbookViewId="0"/>
  </sheetViews>
  <sheetFormatPr defaultRowHeight="15" x14ac:dyDescent="0.25"/>
  <cols>
    <col min="1" max="1" width="14.5703125" customWidth="1"/>
    <col min="2" max="2" width="15.42578125" bestFit="1" customWidth="1"/>
  </cols>
  <sheetData>
    <row r="1" spans="1:2" x14ac:dyDescent="0.25">
      <c r="B1" t="s">
        <v>37</v>
      </c>
    </row>
    <row r="2" spans="1:2" x14ac:dyDescent="0.25">
      <c r="A2" s="1" t="s">
        <v>29</v>
      </c>
    </row>
    <row r="3" spans="1:2" x14ac:dyDescent="0.25">
      <c r="A3" t="s">
        <v>23</v>
      </c>
      <c r="B3">
        <v>1</v>
      </c>
    </row>
    <row r="4" spans="1:2" x14ac:dyDescent="0.25">
      <c r="A4" t="s">
        <v>24</v>
      </c>
      <c r="B4">
        <f>0.0254*12</f>
        <v>0.30479999999999996</v>
      </c>
    </row>
    <row r="5" spans="1:2" x14ac:dyDescent="0.25">
      <c r="A5" t="s">
        <v>25</v>
      </c>
      <c r="B5">
        <f>0.3048/12</f>
        <v>2.5400000000000002E-2</v>
      </c>
    </row>
    <row r="6" spans="1:2" x14ac:dyDescent="0.25">
      <c r="A6" t="s">
        <v>26</v>
      </c>
      <c r="B6">
        <v>1000</v>
      </c>
    </row>
    <row r="7" spans="1:2" x14ac:dyDescent="0.25">
      <c r="A7" t="s">
        <v>27</v>
      </c>
      <c r="B7">
        <f>1/100</f>
        <v>0.01</v>
      </c>
    </row>
    <row r="8" spans="1:2" x14ac:dyDescent="0.25">
      <c r="A8" t="s">
        <v>28</v>
      </c>
      <c r="B8">
        <f>1/1000</f>
        <v>1E-3</v>
      </c>
    </row>
    <row r="10" spans="1:2" x14ac:dyDescent="0.25">
      <c r="A10" s="1" t="s">
        <v>30</v>
      </c>
      <c r="B10" t="s">
        <v>38</v>
      </c>
    </row>
    <row r="11" spans="1:2" x14ac:dyDescent="0.25">
      <c r="A11" t="s">
        <v>36</v>
      </c>
      <c r="B11">
        <f>1/3.6</f>
        <v>0.27777777777777779</v>
      </c>
    </row>
    <row r="12" spans="1:2" x14ac:dyDescent="0.25">
      <c r="A12" t="s">
        <v>31</v>
      </c>
      <c r="B12">
        <v>1</v>
      </c>
    </row>
    <row r="13" spans="1:2" x14ac:dyDescent="0.25">
      <c r="A13" t="s">
        <v>32</v>
      </c>
      <c r="B13">
        <f>0.0254*12*5280/3600</f>
        <v>0.44703999999999994</v>
      </c>
    </row>
    <row r="14" spans="1:2" x14ac:dyDescent="0.25">
      <c r="A14" t="s">
        <v>33</v>
      </c>
      <c r="B14">
        <f>0.0254*12</f>
        <v>0.30479999999999996</v>
      </c>
    </row>
    <row r="15" spans="1:2" x14ac:dyDescent="0.25">
      <c r="A15" t="s">
        <v>34</v>
      </c>
      <c r="B15">
        <v>2.5399999999999999E-2</v>
      </c>
    </row>
    <row r="16" spans="1:2" x14ac:dyDescent="0.25">
      <c r="A16" t="s">
        <v>35</v>
      </c>
      <c r="B16">
        <v>0.51444400000000001</v>
      </c>
    </row>
    <row r="18" spans="1:4" x14ac:dyDescent="0.25">
      <c r="A18" s="1" t="s">
        <v>65</v>
      </c>
    </row>
    <row r="19" spans="1:4" x14ac:dyDescent="0.25">
      <c r="A19" t="s">
        <v>66</v>
      </c>
      <c r="B19">
        <v>0</v>
      </c>
    </row>
    <row r="20" spans="1:4" x14ac:dyDescent="0.25">
      <c r="A20" t="s">
        <v>67</v>
      </c>
      <c r="B20">
        <v>1</v>
      </c>
    </row>
    <row r="21" spans="1:4" x14ac:dyDescent="0.25">
      <c r="A21" s="1" t="s">
        <v>68</v>
      </c>
    </row>
    <row r="22" spans="1:4" x14ac:dyDescent="0.25">
      <c r="B22" t="s">
        <v>73</v>
      </c>
      <c r="C22" t="s">
        <v>74</v>
      </c>
      <c r="D22" t="s">
        <v>75</v>
      </c>
    </row>
    <row r="23" spans="1:4" ht="30" x14ac:dyDescent="0.25">
      <c r="A23" s="2" t="s">
        <v>69</v>
      </c>
      <c r="B23">
        <v>0.01</v>
      </c>
      <c r="C23">
        <v>0.1</v>
      </c>
      <c r="D23">
        <v>213</v>
      </c>
    </row>
    <row r="24" spans="1:4" ht="30" x14ac:dyDescent="0.25">
      <c r="A24" s="2" t="s">
        <v>70</v>
      </c>
      <c r="B24">
        <v>0.05</v>
      </c>
      <c r="C24">
        <v>0.14000000000000001</v>
      </c>
      <c r="D24">
        <v>274</v>
      </c>
    </row>
    <row r="25" spans="1:4" x14ac:dyDescent="0.25">
      <c r="A25" s="2" t="s">
        <v>71</v>
      </c>
      <c r="B25">
        <v>0.65</v>
      </c>
      <c r="C25">
        <v>0.22</v>
      </c>
      <c r="D25">
        <v>365</v>
      </c>
    </row>
    <row r="26" spans="1:4" x14ac:dyDescent="0.25">
      <c r="A26" s="2" t="s">
        <v>72</v>
      </c>
      <c r="B26">
        <v>2</v>
      </c>
      <c r="C26">
        <v>0.33</v>
      </c>
      <c r="D26">
        <v>457</v>
      </c>
    </row>
    <row r="27" spans="1:4" x14ac:dyDescent="0.25">
      <c r="A27" s="2"/>
    </row>
    <row r="28" spans="1:4" x14ac:dyDescent="0.25">
      <c r="A28" s="2"/>
    </row>
    <row r="29" spans="1:4" x14ac:dyDescent="0.25">
      <c r="A29" s="3"/>
    </row>
    <row r="30" spans="1:4" x14ac:dyDescent="0.25">
      <c r="A30" s="2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2"/>
    </row>
    <row r="39" spans="1:1" x14ac:dyDescent="0.25">
      <c r="A39" s="3"/>
    </row>
    <row r="40" spans="1:1" x14ac:dyDescent="0.25">
      <c r="A40" s="2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A49E4-3317-4B43-A0BB-438FE6140B44}">
  <dimension ref="A1:Q4"/>
  <sheetViews>
    <sheetView workbookViewId="0">
      <selection activeCell="F3" sqref="F3"/>
    </sheetView>
  </sheetViews>
  <sheetFormatPr defaultRowHeight="15" x14ac:dyDescent="0.25"/>
  <sheetData>
    <row r="1" spans="1:17" x14ac:dyDescent="0.25"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</row>
    <row r="2" spans="1:17" x14ac:dyDescent="0.25">
      <c r="A2" t="s">
        <v>224</v>
      </c>
      <c r="B2">
        <v>0</v>
      </c>
      <c r="C2">
        <v>0</v>
      </c>
      <c r="D2">
        <v>15</v>
      </c>
      <c r="E2">
        <v>60</v>
      </c>
      <c r="F2">
        <v>66</v>
      </c>
      <c r="G2" t="s">
        <v>43</v>
      </c>
      <c r="H2" t="s">
        <v>43</v>
      </c>
      <c r="I2" t="s">
        <v>43</v>
      </c>
      <c r="J2" t="s">
        <v>43</v>
      </c>
      <c r="K2" t="s">
        <v>43</v>
      </c>
      <c r="L2" t="s">
        <v>43</v>
      </c>
      <c r="M2" t="s">
        <v>43</v>
      </c>
      <c r="N2" t="s">
        <v>43</v>
      </c>
      <c r="O2" t="s">
        <v>43</v>
      </c>
      <c r="P2" t="s">
        <v>43</v>
      </c>
      <c r="Q2" t="s">
        <v>43</v>
      </c>
    </row>
    <row r="3" spans="1:17" x14ac:dyDescent="0.25">
      <c r="A3" t="s">
        <v>225</v>
      </c>
      <c r="B3">
        <v>0</v>
      </c>
      <c r="C3">
        <v>0</v>
      </c>
      <c r="D3">
        <v>0</v>
      </c>
      <c r="E3">
        <v>0</v>
      </c>
      <c r="F3">
        <v>0</v>
      </c>
      <c r="G3" t="s">
        <v>43</v>
      </c>
      <c r="H3" t="s">
        <v>43</v>
      </c>
      <c r="I3" t="s">
        <v>43</v>
      </c>
      <c r="J3" t="s">
        <v>43</v>
      </c>
      <c r="K3" t="s">
        <v>43</v>
      </c>
      <c r="L3" t="s">
        <v>43</v>
      </c>
      <c r="M3" t="s">
        <v>43</v>
      </c>
      <c r="N3" t="s">
        <v>43</v>
      </c>
      <c r="O3" t="s">
        <v>43</v>
      </c>
      <c r="P3" t="s">
        <v>43</v>
      </c>
      <c r="Q3" t="s">
        <v>43</v>
      </c>
    </row>
    <row r="4" spans="1:17" x14ac:dyDescent="0.25">
      <c r="A4" t="s">
        <v>226</v>
      </c>
      <c r="B4">
        <v>0</v>
      </c>
      <c r="C4">
        <v>15</v>
      </c>
      <c r="D4">
        <v>15</v>
      </c>
      <c r="E4">
        <v>15</v>
      </c>
      <c r="F4">
        <v>5</v>
      </c>
      <c r="G4" t="s">
        <v>43</v>
      </c>
      <c r="H4" t="s">
        <v>43</v>
      </c>
      <c r="I4" t="s">
        <v>43</v>
      </c>
      <c r="J4" t="s">
        <v>43</v>
      </c>
      <c r="K4" t="s">
        <v>43</v>
      </c>
      <c r="L4" t="s">
        <v>43</v>
      </c>
      <c r="M4" t="s">
        <v>43</v>
      </c>
      <c r="N4" t="s">
        <v>43</v>
      </c>
      <c r="O4" t="s">
        <v>43</v>
      </c>
      <c r="P4" t="s">
        <v>43</v>
      </c>
      <c r="Q4" t="s">
        <v>43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90E69-DABC-4F0F-9293-9632550A3E47}">
  <dimension ref="A1:R7"/>
  <sheetViews>
    <sheetView workbookViewId="0">
      <selection activeCell="R2" sqref="R2"/>
    </sheetView>
  </sheetViews>
  <sheetFormatPr defaultRowHeight="15" x14ac:dyDescent="0.25"/>
  <sheetData>
    <row r="1" spans="1:18" x14ac:dyDescent="0.25">
      <c r="B1" t="s">
        <v>199</v>
      </c>
      <c r="C1" t="s">
        <v>200</v>
      </c>
      <c r="D1" t="s">
        <v>201</v>
      </c>
      <c r="E1" t="s">
        <v>202</v>
      </c>
      <c r="F1" t="s">
        <v>203</v>
      </c>
      <c r="G1" t="s">
        <v>204</v>
      </c>
      <c r="H1" t="s">
        <v>205</v>
      </c>
      <c r="I1" t="s">
        <v>206</v>
      </c>
      <c r="J1" t="s">
        <v>207</v>
      </c>
      <c r="K1" t="s">
        <v>227</v>
      </c>
      <c r="L1" t="s">
        <v>228</v>
      </c>
      <c r="M1" t="s">
        <v>229</v>
      </c>
      <c r="N1" t="s">
        <v>230</v>
      </c>
      <c r="O1" t="s">
        <v>231</v>
      </c>
      <c r="P1" t="s">
        <v>232</v>
      </c>
      <c r="Q1" t="s">
        <v>233</v>
      </c>
      <c r="R1" t="s">
        <v>234</v>
      </c>
    </row>
    <row r="2" spans="1:18" x14ac:dyDescent="0.25">
      <c r="A2" t="s">
        <v>169</v>
      </c>
      <c r="B2">
        <v>0</v>
      </c>
      <c r="C2">
        <f>Inputs!C42</f>
        <v>30</v>
      </c>
      <c r="D2">
        <f>Inputs!D42</f>
        <v>0</v>
      </c>
      <c r="E2">
        <f>Inputs!E42</f>
        <v>0</v>
      </c>
      <c r="F2">
        <f>Inputs!F42</f>
        <v>0</v>
      </c>
      <c r="G2">
        <f>Inputs!G42</f>
        <v>0</v>
      </c>
      <c r="H2">
        <f>Inputs!H42</f>
        <v>0</v>
      </c>
      <c r="I2">
        <f>Inputs!I42</f>
        <v>0</v>
      </c>
      <c r="J2">
        <f>Inputs!J42</f>
        <v>0</v>
      </c>
      <c r="K2">
        <f>Inputs!C52</f>
        <v>16</v>
      </c>
      <c r="L2">
        <f>Inputs!D52</f>
        <v>0</v>
      </c>
      <c r="M2">
        <f>Inputs!E52</f>
        <v>0</v>
      </c>
      <c r="N2">
        <f>Inputs!F52</f>
        <v>0</v>
      </c>
      <c r="O2">
        <f>Inputs!G52</f>
        <v>0</v>
      </c>
      <c r="P2">
        <f>Inputs!H52</f>
        <v>0</v>
      </c>
      <c r="Q2">
        <f>Inputs!I52</f>
        <v>0</v>
      </c>
      <c r="R2">
        <f>Inputs!J52</f>
        <v>0</v>
      </c>
    </row>
    <row r="3" spans="1:18" x14ac:dyDescent="0.25">
      <c r="A3" t="s">
        <v>170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 x14ac:dyDescent="0.25">
      <c r="A4" t="s">
        <v>171</v>
      </c>
      <c r="B4">
        <v>0</v>
      </c>
      <c r="C4">
        <f>Inputs!C43</f>
        <v>15</v>
      </c>
      <c r="D4">
        <f>Inputs!D43</f>
        <v>0</v>
      </c>
      <c r="E4">
        <f>Inputs!E43</f>
        <v>0</v>
      </c>
      <c r="F4">
        <f>Inputs!F43</f>
        <v>0</v>
      </c>
      <c r="G4">
        <f>Inputs!G43</f>
        <v>0</v>
      </c>
      <c r="H4">
        <f>Inputs!H43</f>
        <v>0</v>
      </c>
      <c r="I4">
        <f>Inputs!I43</f>
        <v>0</v>
      </c>
      <c r="J4">
        <f>Inputs!J43</f>
        <v>0</v>
      </c>
      <c r="K4">
        <f>Inputs!C53</f>
        <v>15</v>
      </c>
      <c r="L4">
        <f>Inputs!D53</f>
        <v>0</v>
      </c>
      <c r="M4">
        <f>Inputs!E53</f>
        <v>0</v>
      </c>
      <c r="N4">
        <f>Inputs!F53</f>
        <v>0</v>
      </c>
      <c r="O4">
        <f>Inputs!G53</f>
        <v>0</v>
      </c>
      <c r="P4">
        <f>Inputs!H53</f>
        <v>0</v>
      </c>
      <c r="Q4">
        <f>Inputs!I53</f>
        <v>0</v>
      </c>
      <c r="R4">
        <f>Inputs!J53</f>
        <v>0</v>
      </c>
    </row>
    <row r="5" spans="1:18" x14ac:dyDescent="0.25">
      <c r="A5" t="s">
        <v>172</v>
      </c>
      <c r="B5">
        <f>Inputs!C36</f>
        <v>62</v>
      </c>
      <c r="C5">
        <f>Inputs!C46</f>
        <v>7</v>
      </c>
      <c r="D5">
        <f>Inputs!D46</f>
        <v>0</v>
      </c>
      <c r="E5">
        <f>Inputs!E46</f>
        <v>0</v>
      </c>
      <c r="F5">
        <f>Inputs!F46</f>
        <v>0</v>
      </c>
      <c r="G5">
        <f>Inputs!G46</f>
        <v>0</v>
      </c>
      <c r="H5">
        <f>Inputs!H46</f>
        <v>0</v>
      </c>
      <c r="I5">
        <f>Inputs!I46</f>
        <v>0</v>
      </c>
      <c r="J5">
        <f>Inputs!J46</f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  <row r="6" spans="1:18" x14ac:dyDescent="0.25">
      <c r="A6" t="s">
        <v>173</v>
      </c>
      <c r="B6">
        <f>Inputs!C37</f>
        <v>50</v>
      </c>
      <c r="C6">
        <f>Inputs!C47</f>
        <v>9</v>
      </c>
      <c r="D6">
        <f>Inputs!D47</f>
        <v>0</v>
      </c>
      <c r="E6">
        <f>Inputs!E47</f>
        <v>0</v>
      </c>
      <c r="F6">
        <f>Inputs!F47</f>
        <v>0</v>
      </c>
      <c r="G6">
        <f>Inputs!G47</f>
        <v>0</v>
      </c>
      <c r="H6">
        <f>Inputs!H47</f>
        <v>0</v>
      </c>
      <c r="I6">
        <f>Inputs!I47</f>
        <v>0</v>
      </c>
      <c r="J6">
        <f>Inputs!J47</f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</row>
    <row r="7" spans="1:18" x14ac:dyDescent="0.25">
      <c r="A7" t="s">
        <v>174</v>
      </c>
      <c r="B7">
        <f>Inputs!C35</f>
        <v>15</v>
      </c>
      <c r="C7">
        <f>Inputs!C45</f>
        <v>4</v>
      </c>
      <c r="D7">
        <f>Inputs!D45</f>
        <v>0</v>
      </c>
      <c r="E7">
        <f>Inputs!E45</f>
        <v>0</v>
      </c>
      <c r="F7">
        <f>Inputs!F45</f>
        <v>0</v>
      </c>
      <c r="G7">
        <f>Inputs!G45</f>
        <v>0</v>
      </c>
      <c r="H7">
        <f>Inputs!H45</f>
        <v>0</v>
      </c>
      <c r="I7">
        <f>Inputs!I45</f>
        <v>0</v>
      </c>
      <c r="J7">
        <f>Inputs!J45</f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B2205-13C9-4A3C-A817-64974E40BF0C}">
  <dimension ref="A1:I4"/>
  <sheetViews>
    <sheetView workbookViewId="0"/>
  </sheetViews>
  <sheetFormatPr defaultRowHeight="15" x14ac:dyDescent="0.25"/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166</v>
      </c>
      <c r="B2">
        <f>Inputs!C55</f>
        <v>0.5</v>
      </c>
      <c r="C2">
        <f>Inputs!D55</f>
        <v>0</v>
      </c>
      <c r="D2">
        <f>Inputs!E55</f>
        <v>0</v>
      </c>
      <c r="E2">
        <f>Inputs!F55</f>
        <v>0</v>
      </c>
      <c r="F2">
        <f>Inputs!G55</f>
        <v>0</v>
      </c>
      <c r="G2">
        <f>Inputs!H55</f>
        <v>0</v>
      </c>
      <c r="H2">
        <f>Inputs!I55</f>
        <v>0</v>
      </c>
      <c r="I2">
        <f>Inputs!J55</f>
        <v>0</v>
      </c>
    </row>
    <row r="3" spans="1:9" x14ac:dyDescent="0.25">
      <c r="A3" t="s">
        <v>167</v>
      </c>
      <c r="B3">
        <f>Inputs!C56</f>
        <v>9</v>
      </c>
      <c r="C3">
        <f>Inputs!D56</f>
        <v>0</v>
      </c>
      <c r="D3">
        <f>Inputs!E56</f>
        <v>0</v>
      </c>
      <c r="E3">
        <f>Inputs!F56</f>
        <v>0</v>
      </c>
      <c r="F3">
        <f>Inputs!G56</f>
        <v>0</v>
      </c>
      <c r="G3">
        <f>Inputs!H56</f>
        <v>0</v>
      </c>
      <c r="H3">
        <f>Inputs!I56</f>
        <v>0</v>
      </c>
      <c r="I3">
        <f>Inputs!J56</f>
        <v>0</v>
      </c>
    </row>
    <row r="4" spans="1:9" x14ac:dyDescent="0.25">
      <c r="A4" t="s">
        <v>168</v>
      </c>
      <c r="B4">
        <f>Inputs!C57</f>
        <v>1</v>
      </c>
      <c r="C4">
        <f>Inputs!D57</f>
        <v>0</v>
      </c>
      <c r="D4">
        <f>Inputs!E57</f>
        <v>0</v>
      </c>
      <c r="E4">
        <f>Inputs!F57</f>
        <v>0</v>
      </c>
      <c r="F4">
        <f>Inputs!G57</f>
        <v>0</v>
      </c>
      <c r="G4">
        <f>Inputs!H57</f>
        <v>0</v>
      </c>
      <c r="H4">
        <f>Inputs!I57</f>
        <v>0</v>
      </c>
      <c r="I4">
        <f>Inputs!J57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F88FB-ECA7-401C-A5DF-B3F17938F9E6}">
  <dimension ref="A1:F3"/>
  <sheetViews>
    <sheetView workbookViewId="0"/>
  </sheetViews>
  <sheetFormatPr defaultRowHeight="15" x14ac:dyDescent="0.25"/>
  <sheetData>
    <row r="1" spans="1:6" x14ac:dyDescent="0.25">
      <c r="B1" t="s">
        <v>163</v>
      </c>
      <c r="C1" t="s">
        <v>164</v>
      </c>
      <c r="D1" t="s">
        <v>78</v>
      </c>
      <c r="E1" t="s">
        <v>79</v>
      </c>
      <c r="F1" t="s">
        <v>165</v>
      </c>
    </row>
    <row r="2" spans="1:6" x14ac:dyDescent="0.25">
      <c r="A2" t="s">
        <v>88</v>
      </c>
      <c r="B2">
        <v>0</v>
      </c>
      <c r="C2">
        <f>Inputs!C35</f>
        <v>15</v>
      </c>
      <c r="D2">
        <f>Inputs!C27</f>
        <v>0.65</v>
      </c>
      <c r="E2">
        <f>Inputs!D27</f>
        <v>0.22</v>
      </c>
      <c r="F2">
        <f>Inputs!E27</f>
        <v>365</v>
      </c>
    </row>
    <row r="3" spans="1:6" x14ac:dyDescent="0.25">
      <c r="A3" t="s">
        <v>87</v>
      </c>
      <c r="B3">
        <f>Inputs!C39</f>
        <v>3.5555555555555558</v>
      </c>
      <c r="C3">
        <f>Inputs!C40</f>
        <v>10</v>
      </c>
      <c r="D3">
        <f>Inputs!C29</f>
        <v>0.05</v>
      </c>
      <c r="E3">
        <f>Inputs!D29</f>
        <v>0.14000000000000001</v>
      </c>
      <c r="F3">
        <f>Inputs!E29</f>
        <v>274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5366E-9768-4AB3-BD62-B6A41648416B}">
  <dimension ref="A1:Z14"/>
  <sheetViews>
    <sheetView workbookViewId="0"/>
  </sheetViews>
  <sheetFormatPr defaultRowHeight="15" x14ac:dyDescent="0.25"/>
  <sheetData>
    <row r="1" spans="1:26" x14ac:dyDescent="0.25">
      <c r="B1" t="s">
        <v>162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</row>
    <row r="2" spans="1:26" x14ac:dyDescent="0.25">
      <c r="A2" t="s">
        <v>169</v>
      </c>
      <c r="B2">
        <v>0</v>
      </c>
      <c r="C2">
        <f>Inputs!C42</f>
        <v>30</v>
      </c>
      <c r="D2">
        <f>Inputs!D42</f>
        <v>0</v>
      </c>
      <c r="E2">
        <f>Inputs!E42</f>
        <v>0</v>
      </c>
      <c r="F2">
        <f>Inputs!F42</f>
        <v>0</v>
      </c>
      <c r="G2">
        <f>Inputs!G42</f>
        <v>0</v>
      </c>
      <c r="H2">
        <f>Inputs!H42</f>
        <v>0</v>
      </c>
      <c r="I2">
        <f>Inputs!I42</f>
        <v>0</v>
      </c>
      <c r="J2">
        <f>Inputs!J42</f>
        <v>0</v>
      </c>
      <c r="K2">
        <f>Inputs!C49</f>
        <v>30</v>
      </c>
      <c r="L2">
        <f>Inputs!D49</f>
        <v>0</v>
      </c>
      <c r="M2">
        <f>Inputs!E49</f>
        <v>0</v>
      </c>
      <c r="N2">
        <f>Inputs!F49</f>
        <v>0</v>
      </c>
      <c r="O2">
        <f>Inputs!G49</f>
        <v>0</v>
      </c>
      <c r="P2">
        <f>Inputs!H49</f>
        <v>0</v>
      </c>
      <c r="Q2">
        <f>Inputs!I49</f>
        <v>0</v>
      </c>
      <c r="R2">
        <f>Inputs!J49</f>
        <v>0</v>
      </c>
      <c r="S2">
        <f>Inputs!C52</f>
        <v>16</v>
      </c>
      <c r="T2">
        <f>Inputs!D52</f>
        <v>0</v>
      </c>
      <c r="U2">
        <f>Inputs!E52</f>
        <v>0</v>
      </c>
      <c r="V2">
        <f>Inputs!F52</f>
        <v>0</v>
      </c>
      <c r="W2">
        <f>Inputs!G52</f>
        <v>0</v>
      </c>
      <c r="X2">
        <f>Inputs!H52</f>
        <v>0</v>
      </c>
      <c r="Y2">
        <f>Inputs!I52</f>
        <v>0</v>
      </c>
      <c r="Z2">
        <f>Inputs!J52</f>
        <v>0</v>
      </c>
    </row>
    <row r="3" spans="1:26" x14ac:dyDescent="0.25">
      <c r="A3" t="s">
        <v>170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171</v>
      </c>
      <c r="B4">
        <v>0</v>
      </c>
      <c r="C4">
        <f>Inputs!C43</f>
        <v>15</v>
      </c>
      <c r="D4">
        <f>Inputs!D43</f>
        <v>0</v>
      </c>
      <c r="E4">
        <f>Inputs!E43</f>
        <v>0</v>
      </c>
      <c r="F4">
        <f>Inputs!F43</f>
        <v>0</v>
      </c>
      <c r="G4">
        <f>Inputs!G43</f>
        <v>0</v>
      </c>
      <c r="H4">
        <f>Inputs!H43</f>
        <v>0</v>
      </c>
      <c r="I4">
        <f>Inputs!I43</f>
        <v>0</v>
      </c>
      <c r="J4">
        <f>Inputs!J43</f>
        <v>0</v>
      </c>
      <c r="K4">
        <f>Inputs!C50</f>
        <v>17</v>
      </c>
      <c r="L4">
        <f>Inputs!D50</f>
        <v>9</v>
      </c>
      <c r="M4">
        <f>Inputs!E50</f>
        <v>0</v>
      </c>
      <c r="N4">
        <f>Inputs!F50</f>
        <v>0</v>
      </c>
      <c r="O4">
        <f>Inputs!G50</f>
        <v>0</v>
      </c>
      <c r="P4">
        <f>Inputs!H50</f>
        <v>0</v>
      </c>
      <c r="Q4">
        <f>Inputs!I50</f>
        <v>0</v>
      </c>
      <c r="R4">
        <f>Inputs!J50</f>
        <v>0</v>
      </c>
      <c r="S4">
        <f>Inputs!C53</f>
        <v>15</v>
      </c>
      <c r="T4">
        <f>Inputs!D53</f>
        <v>0</v>
      </c>
      <c r="U4">
        <f>Inputs!E53</f>
        <v>0</v>
      </c>
      <c r="V4">
        <f>Inputs!F53</f>
        <v>0</v>
      </c>
      <c r="W4">
        <f>Inputs!G53</f>
        <v>0</v>
      </c>
      <c r="X4">
        <f>Inputs!H53</f>
        <v>0</v>
      </c>
      <c r="Y4">
        <f>Inputs!I53</f>
        <v>0</v>
      </c>
      <c r="Z4">
        <f>Inputs!J53</f>
        <v>0</v>
      </c>
    </row>
    <row r="5" spans="1:26" x14ac:dyDescent="0.25">
      <c r="A5" t="s">
        <v>172</v>
      </c>
      <c r="B5">
        <f>Inputs!C35</f>
        <v>15</v>
      </c>
      <c r="C5">
        <f>Inputs!C45</f>
        <v>4</v>
      </c>
      <c r="D5">
        <f>Inputs!D45</f>
        <v>0</v>
      </c>
      <c r="E5">
        <f>Inputs!E45</f>
        <v>0</v>
      </c>
      <c r="F5">
        <f>Inputs!F45</f>
        <v>0</v>
      </c>
      <c r="G5">
        <f>Inputs!G45</f>
        <v>0</v>
      </c>
      <c r="H5">
        <f>Inputs!H45</f>
        <v>0</v>
      </c>
      <c r="I5">
        <f>Inputs!I45</f>
        <v>0</v>
      </c>
      <c r="J5">
        <f>Inputs!J45</f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173</v>
      </c>
      <c r="B6">
        <f>Inputs!C36</f>
        <v>62</v>
      </c>
      <c r="C6">
        <f>Inputs!C46</f>
        <v>7</v>
      </c>
      <c r="D6">
        <f>Inputs!D46</f>
        <v>0</v>
      </c>
      <c r="E6">
        <f>Inputs!E46</f>
        <v>0</v>
      </c>
      <c r="F6">
        <f>Inputs!F46</f>
        <v>0</v>
      </c>
      <c r="G6">
        <f>Inputs!G46</f>
        <v>0</v>
      </c>
      <c r="H6">
        <f>Inputs!H46</f>
        <v>0</v>
      </c>
      <c r="I6">
        <f>Inputs!I46</f>
        <v>0</v>
      </c>
      <c r="J6">
        <f>Inputs!J46</f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174</v>
      </c>
      <c r="B7">
        <f>Inputs!C37</f>
        <v>50</v>
      </c>
      <c r="C7">
        <f>Inputs!C47</f>
        <v>9</v>
      </c>
      <c r="D7">
        <f>Inputs!D47</f>
        <v>0</v>
      </c>
      <c r="E7">
        <f>Inputs!E47</f>
        <v>0</v>
      </c>
      <c r="F7">
        <f>Inputs!F47</f>
        <v>0</v>
      </c>
      <c r="G7">
        <f>Inputs!G47</f>
        <v>0</v>
      </c>
      <c r="H7">
        <f>Inputs!H47</f>
        <v>0</v>
      </c>
      <c r="I7">
        <f>Inputs!I47</f>
        <v>0</v>
      </c>
      <c r="J7">
        <f>Inputs!J47</f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</row>
    <row r="9" spans="1:26" x14ac:dyDescent="0.25">
      <c r="A9" t="s">
        <v>166</v>
      </c>
      <c r="B9">
        <f>Inputs!C62</f>
        <v>0</v>
      </c>
      <c r="C9">
        <f>Inputs!D62</f>
        <v>0</v>
      </c>
      <c r="D9">
        <f>Inputs!E62</f>
        <v>0</v>
      </c>
      <c r="E9">
        <f>Inputs!F62</f>
        <v>0</v>
      </c>
      <c r="F9">
        <f>Inputs!G62</f>
        <v>0</v>
      </c>
      <c r="G9">
        <f>Inputs!H62</f>
        <v>0</v>
      </c>
      <c r="H9">
        <f>Inputs!I62</f>
        <v>0</v>
      </c>
      <c r="I9">
        <f>Inputs!J62</f>
        <v>0</v>
      </c>
    </row>
    <row r="10" spans="1:26" x14ac:dyDescent="0.25">
      <c r="A10" t="s">
        <v>167</v>
      </c>
      <c r="B10">
        <f>Inputs!C63</f>
        <v>0</v>
      </c>
      <c r="C10">
        <f>Inputs!D63</f>
        <v>0</v>
      </c>
      <c r="D10">
        <f>Inputs!E63</f>
        <v>0</v>
      </c>
      <c r="E10">
        <f>Inputs!F63</f>
        <v>0</v>
      </c>
      <c r="F10">
        <f>Inputs!G63</f>
        <v>0</v>
      </c>
      <c r="G10">
        <f>Inputs!H63</f>
        <v>0</v>
      </c>
      <c r="H10">
        <f>Inputs!I63</f>
        <v>0</v>
      </c>
      <c r="I10">
        <f>Inputs!J63</f>
        <v>0</v>
      </c>
    </row>
    <row r="11" spans="1:26" x14ac:dyDescent="0.25">
      <c r="A11" t="s">
        <v>168</v>
      </c>
      <c r="B11">
        <f>Inputs!C64</f>
        <v>0</v>
      </c>
      <c r="C11">
        <f>Inputs!D64</f>
        <v>0</v>
      </c>
      <c r="D11">
        <f>Inputs!E64</f>
        <v>0</v>
      </c>
      <c r="E11">
        <f>Inputs!F64</f>
        <v>0</v>
      </c>
      <c r="F11">
        <f>Inputs!G64</f>
        <v>0</v>
      </c>
      <c r="G11">
        <f>Inputs!H64</f>
        <v>0</v>
      </c>
      <c r="H11">
        <f>Inputs!I64</f>
        <v>0</v>
      </c>
      <c r="I11">
        <f>Inputs!J64</f>
        <v>0</v>
      </c>
    </row>
    <row r="12" spans="1:26" x14ac:dyDescent="0.25">
      <c r="B12" t="s">
        <v>163</v>
      </c>
      <c r="C12" t="s">
        <v>164</v>
      </c>
      <c r="D12" t="s">
        <v>78</v>
      </c>
      <c r="E12" t="s">
        <v>79</v>
      </c>
      <c r="F12" t="s">
        <v>165</v>
      </c>
    </row>
    <row r="13" spans="1:26" x14ac:dyDescent="0.25">
      <c r="A13" t="s">
        <v>88</v>
      </c>
      <c r="B13">
        <v>0</v>
      </c>
      <c r="C13">
        <f>Inputs!C46</f>
        <v>7</v>
      </c>
      <c r="D13">
        <f>Inputs!C38</f>
        <v>0</v>
      </c>
      <c r="E13">
        <f>Inputs!D38</f>
        <v>0</v>
      </c>
      <c r="F13">
        <f>Inputs!E38</f>
        <v>0</v>
      </c>
    </row>
    <row r="14" spans="1:26" x14ac:dyDescent="0.25">
      <c r="A14" t="s">
        <v>87</v>
      </c>
      <c r="B14">
        <f>Inputs!C50</f>
        <v>17</v>
      </c>
      <c r="C14">
        <f>Inputs!C51</f>
        <v>0</v>
      </c>
      <c r="D14">
        <f>Inputs!C40</f>
        <v>10</v>
      </c>
      <c r="E14">
        <f>Inputs!D40</f>
        <v>0</v>
      </c>
      <c r="F14">
        <f>Inputs!E40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423744-0B7D-46E5-8430-0B28D28BC6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Read Me</vt:lpstr>
      <vt:lpstr>Inputs</vt:lpstr>
      <vt:lpstr>BackEndR0</vt:lpstr>
      <vt:lpstr>Dilution</vt:lpstr>
      <vt:lpstr>Units</vt:lpstr>
      <vt:lpstr>Rec</vt:lpstr>
      <vt:lpstr>Geometry</vt:lpstr>
      <vt:lpstr>Stack</vt:lpstr>
      <vt:lpstr>Cond</vt:lpstr>
      <vt:lpstr>Mega IC</vt:lpstr>
      <vt:lpstr>Boundary</vt:lpstr>
      <vt:lpstr>CapFactor</vt:lpstr>
      <vt:lpstr>Distance</vt:lpstr>
      <vt:lpstr>Velocity</vt:lpstr>
    </vt:vector>
  </TitlesOfParts>
  <Company>CPP Wind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 Knight</dc:creator>
  <cp:lastModifiedBy>Cecilia Knight</cp:lastModifiedBy>
  <dcterms:created xsi:type="dcterms:W3CDTF">2024-03-14T20:54:51Z</dcterms:created>
  <dcterms:modified xsi:type="dcterms:W3CDTF">2024-05-13T19:13:38Z</dcterms:modified>
</cp:coreProperties>
</file>